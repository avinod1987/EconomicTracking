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Freelance Project -3\Project\"/>
    </mc:Choice>
  </mc:AlternateContent>
  <bookViews>
    <workbookView xWindow="0" yWindow="0" windowWidth="19200" windowHeight="7245" firstSheet="2" activeTab="2"/>
  </bookViews>
  <sheets>
    <sheet name="advantages" sheetId="15" r:id="rId1"/>
    <sheet name="DataTable" sheetId="12" r:id="rId2"/>
    <sheet name="ChangeHistory" sheetId="13" r:id="rId3"/>
    <sheet name="Inputs" sheetId="11" r:id="rId4"/>
    <sheet name="SettlementRef" sheetId="8" r:id="rId5"/>
    <sheet name="Sales Qty" sheetId="9" r:id="rId6"/>
    <sheet name="BOM_001" sheetId="3" r:id="rId7"/>
    <sheet name="Recipe_001" sheetId="16" r:id="rId8"/>
    <sheet name="Summary" sheetId="1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W6" i="1" l="1"/>
  <c r="K4" i="16"/>
  <c r="L4" i="16"/>
  <c r="M28" i="16"/>
  <c r="DK6" i="1" s="1"/>
  <c r="M29" i="16"/>
  <c r="DL6" i="1" s="1"/>
  <c r="M30" i="16"/>
  <c r="DM6" i="1" s="1"/>
  <c r="M27" i="16"/>
  <c r="DJ6" i="1" s="1"/>
  <c r="M26" i="16"/>
  <c r="DI6" i="1" s="1"/>
  <c r="M17" i="16"/>
  <c r="CZ6" i="1" s="1"/>
  <c r="M18" i="16"/>
  <c r="DA6" i="1" s="1"/>
  <c r="M19" i="16"/>
  <c r="DB6" i="1" s="1"/>
  <c r="M20" i="16"/>
  <c r="DC6" i="1" s="1"/>
  <c r="M21" i="16"/>
  <c r="DD6" i="1" s="1"/>
  <c r="M22" i="16"/>
  <c r="DE6" i="1" s="1"/>
  <c r="M23" i="16"/>
  <c r="DF6" i="1" s="1"/>
  <c r="M24" i="16"/>
  <c r="DG6" i="1" s="1"/>
  <c r="M25" i="16"/>
  <c r="DH6" i="1" s="1"/>
  <c r="M16" i="16"/>
  <c r="CY6" i="1" s="1"/>
  <c r="M9" i="16"/>
  <c r="CR6" i="1" s="1"/>
  <c r="DQ6" i="1" s="1"/>
  <c r="M10" i="16"/>
  <c r="CS6" i="1" s="1"/>
  <c r="DR6" i="1" s="1"/>
  <c r="M11" i="16"/>
  <c r="CT6" i="1" s="1"/>
  <c r="DS6" i="1" s="1"/>
  <c r="M12" i="16"/>
  <c r="CU6" i="1" s="1"/>
  <c r="DT6" i="1" s="1"/>
  <c r="M13" i="16"/>
  <c r="CV6" i="1" s="1"/>
  <c r="DU6" i="1" s="1"/>
  <c r="M14" i="16"/>
  <c r="CW6" i="1" s="1"/>
  <c r="DV6" i="1" s="1"/>
  <c r="M15" i="16"/>
  <c r="M7" i="16"/>
  <c r="CP6" i="1" s="1"/>
  <c r="DO6" i="1" s="1"/>
  <c r="M8" i="16"/>
  <c r="CQ6" i="1" s="1"/>
  <c r="DP6" i="1" s="1"/>
  <c r="M6" i="16"/>
  <c r="CO6" i="1" s="1"/>
  <c r="DN6" i="1" s="1"/>
  <c r="R6" i="1" l="1"/>
  <c r="EO10" i="1"/>
  <c r="EN10" i="1"/>
  <c r="EM10" i="1"/>
  <c r="EO9" i="1"/>
  <c r="EN9" i="1"/>
  <c r="EM9" i="1"/>
  <c r="EP9" i="1" s="1"/>
  <c r="EO8" i="1"/>
  <c r="EN8" i="1"/>
  <c r="EM8" i="1"/>
  <c r="EP10" i="1" l="1"/>
  <c r="EP8" i="1"/>
  <c r="GO10" i="1"/>
  <c r="GN10" i="1"/>
  <c r="GM10" i="1"/>
  <c r="GL10" i="1"/>
  <c r="GK10" i="1"/>
  <c r="GJ10" i="1"/>
  <c r="GI10" i="1"/>
  <c r="GH10" i="1"/>
  <c r="GG10" i="1"/>
  <c r="GF10" i="1"/>
  <c r="GE10" i="1"/>
  <c r="GD10" i="1"/>
  <c r="GC10" i="1"/>
  <c r="GB10" i="1"/>
  <c r="GA10" i="1"/>
  <c r="FZ10" i="1"/>
  <c r="FY10" i="1"/>
  <c r="FX10" i="1"/>
  <c r="FW10" i="1"/>
  <c r="FV10" i="1"/>
  <c r="FU10" i="1"/>
  <c r="FT10" i="1"/>
  <c r="FS10" i="1"/>
  <c r="FR10" i="1"/>
  <c r="FQ10" i="1"/>
  <c r="FP10" i="1"/>
  <c r="FO10" i="1"/>
  <c r="FN10" i="1"/>
  <c r="FM10" i="1"/>
  <c r="FL10" i="1"/>
  <c r="FK10" i="1"/>
  <c r="FJ10" i="1"/>
  <c r="FI10" i="1"/>
  <c r="FH10" i="1"/>
  <c r="FG10" i="1"/>
  <c r="FF10" i="1"/>
  <c r="FE10" i="1"/>
  <c r="FD10" i="1"/>
  <c r="FC10" i="1"/>
  <c r="FB10" i="1"/>
  <c r="FA10" i="1"/>
  <c r="EZ10" i="1"/>
  <c r="EY10" i="1"/>
  <c r="EX10" i="1"/>
  <c r="EW10" i="1"/>
  <c r="EV10" i="1"/>
  <c r="EU10" i="1"/>
  <c r="ET10" i="1"/>
  <c r="GO9" i="1"/>
  <c r="GN9" i="1"/>
  <c r="GM9" i="1"/>
  <c r="GL9" i="1"/>
  <c r="GK9" i="1"/>
  <c r="GJ9" i="1"/>
  <c r="GI9" i="1"/>
  <c r="GH9" i="1"/>
  <c r="GG9" i="1"/>
  <c r="GF9" i="1"/>
  <c r="GE9" i="1"/>
  <c r="GD9" i="1"/>
  <c r="GC9" i="1"/>
  <c r="GB9" i="1"/>
  <c r="GA9" i="1"/>
  <c r="FZ9" i="1"/>
  <c r="FY9" i="1"/>
  <c r="FX9" i="1"/>
  <c r="FW9" i="1"/>
  <c r="FV9" i="1"/>
  <c r="FU9" i="1"/>
  <c r="FT9" i="1"/>
  <c r="FS9" i="1"/>
  <c r="FR9" i="1"/>
  <c r="FQ9" i="1"/>
  <c r="FP9" i="1"/>
  <c r="FO9" i="1"/>
  <c r="FN9" i="1"/>
  <c r="FM9" i="1"/>
  <c r="FL9" i="1"/>
  <c r="FK9" i="1"/>
  <c r="FJ9" i="1"/>
  <c r="FI9" i="1"/>
  <c r="FH9" i="1"/>
  <c r="FG9" i="1"/>
  <c r="FF9" i="1"/>
  <c r="FE9" i="1"/>
  <c r="FD9" i="1"/>
  <c r="FC9" i="1"/>
  <c r="FB9" i="1"/>
  <c r="FA9" i="1"/>
  <c r="EZ9" i="1"/>
  <c r="EY9" i="1"/>
  <c r="EX9" i="1"/>
  <c r="EW9" i="1"/>
  <c r="EV9" i="1"/>
  <c r="EU9" i="1"/>
  <c r="ET9" i="1"/>
  <c r="GO8" i="1"/>
  <c r="GN8" i="1"/>
  <c r="GM8" i="1"/>
  <c r="GL8" i="1"/>
  <c r="GK8" i="1"/>
  <c r="GJ8" i="1"/>
  <c r="GI8" i="1"/>
  <c r="GH8" i="1"/>
  <c r="GG8" i="1"/>
  <c r="GF8" i="1"/>
  <c r="GE8" i="1"/>
  <c r="GD8" i="1"/>
  <c r="GC8" i="1"/>
  <c r="GB8" i="1"/>
  <c r="GA8" i="1"/>
  <c r="FZ8" i="1"/>
  <c r="FY8" i="1"/>
  <c r="FX8" i="1"/>
  <c r="FW8" i="1"/>
  <c r="FV8" i="1"/>
  <c r="FU8" i="1"/>
  <c r="FT8" i="1"/>
  <c r="FS8" i="1"/>
  <c r="FR8" i="1"/>
  <c r="FQ8" i="1"/>
  <c r="FP8" i="1"/>
  <c r="FO8" i="1"/>
  <c r="FN8" i="1"/>
  <c r="FM8" i="1"/>
  <c r="FL8" i="1"/>
  <c r="FK8" i="1"/>
  <c r="FJ8" i="1"/>
  <c r="FI8" i="1"/>
  <c r="FH8" i="1"/>
  <c r="FG8" i="1"/>
  <c r="FF8" i="1"/>
  <c r="FE8" i="1"/>
  <c r="FD8" i="1"/>
  <c r="FC8" i="1"/>
  <c r="FB8" i="1"/>
  <c r="FA8" i="1"/>
  <c r="EZ8" i="1"/>
  <c r="EY8" i="1"/>
  <c r="EX8" i="1"/>
  <c r="EW8" i="1"/>
  <c r="EV8" i="1"/>
  <c r="EU8" i="1"/>
  <c r="ET8" i="1"/>
  <c r="GO7" i="1"/>
  <c r="GN7" i="1"/>
  <c r="GM7" i="1"/>
  <c r="GL7" i="1"/>
  <c r="GK7" i="1"/>
  <c r="GJ7" i="1"/>
  <c r="GI7" i="1"/>
  <c r="GH7" i="1"/>
  <c r="GG7" i="1"/>
  <c r="GF7" i="1"/>
  <c r="GE7" i="1"/>
  <c r="GD7" i="1"/>
  <c r="GC7" i="1"/>
  <c r="GB7" i="1"/>
  <c r="GA7" i="1"/>
  <c r="FZ7" i="1"/>
  <c r="FY7" i="1"/>
  <c r="FX7" i="1"/>
  <c r="FW7" i="1"/>
  <c r="FV7" i="1"/>
  <c r="FU7" i="1"/>
  <c r="FT7" i="1"/>
  <c r="FS7" i="1"/>
  <c r="FR7" i="1"/>
  <c r="FQ7" i="1"/>
  <c r="FP7" i="1"/>
  <c r="FO7" i="1"/>
  <c r="FN7" i="1"/>
  <c r="FM7" i="1"/>
  <c r="FL7" i="1"/>
  <c r="FK7" i="1"/>
  <c r="FJ7" i="1"/>
  <c r="FI7" i="1"/>
  <c r="FH7" i="1"/>
  <c r="FG7" i="1"/>
  <c r="FF7" i="1"/>
  <c r="FE7" i="1"/>
  <c r="FD7" i="1"/>
  <c r="FC7" i="1"/>
  <c r="FB7" i="1"/>
  <c r="FA7" i="1"/>
  <c r="EZ7" i="1"/>
  <c r="EY7" i="1"/>
  <c r="EX7" i="1"/>
  <c r="EW7" i="1"/>
  <c r="EV7" i="1"/>
  <c r="EU7" i="1"/>
  <c r="ET7" i="1"/>
  <c r="GO6" i="1"/>
  <c r="GN6" i="1"/>
  <c r="GM6" i="1"/>
  <c r="GL6" i="1"/>
  <c r="GK6" i="1"/>
  <c r="GJ6" i="1"/>
  <c r="GI6" i="1"/>
  <c r="GH6" i="1"/>
  <c r="GG6" i="1"/>
  <c r="GF6" i="1"/>
  <c r="GE6" i="1"/>
  <c r="GD6" i="1"/>
  <c r="GC6" i="1"/>
  <c r="GB6" i="1"/>
  <c r="GA6" i="1"/>
  <c r="FZ6" i="1"/>
  <c r="FY6" i="1"/>
  <c r="FX6" i="1"/>
  <c r="FW6" i="1"/>
  <c r="FV6" i="1"/>
  <c r="FU6" i="1"/>
  <c r="FT6" i="1"/>
  <c r="FS6" i="1"/>
  <c r="FR6" i="1"/>
  <c r="FQ6" i="1"/>
  <c r="FP6" i="1"/>
  <c r="FO6" i="1"/>
  <c r="FN6" i="1"/>
  <c r="FM6" i="1"/>
  <c r="FL6" i="1"/>
  <c r="FK6" i="1"/>
  <c r="FJ6" i="1"/>
  <c r="FI6" i="1"/>
  <c r="FH6" i="1"/>
  <c r="FG6" i="1"/>
  <c r="FF6" i="1"/>
  <c r="FE6" i="1"/>
  <c r="FD6" i="1"/>
  <c r="FC6" i="1"/>
  <c r="FB6" i="1"/>
  <c r="FA6" i="1"/>
  <c r="EZ6" i="1"/>
  <c r="EY6" i="1"/>
  <c r="EX6" i="1"/>
  <c r="EW6" i="1"/>
  <c r="EV6" i="1"/>
  <c r="EU6" i="1"/>
  <c r="ET6" i="1"/>
  <c r="BO10" i="1"/>
  <c r="BN10" i="1"/>
  <c r="BM10" i="1"/>
  <c r="BL10" i="1"/>
  <c r="BK10" i="1"/>
  <c r="BJ10" i="1"/>
  <c r="BI10" i="1"/>
  <c r="BH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BO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BO8" i="1"/>
  <c r="BN8" i="1"/>
  <c r="BM8" i="1"/>
  <c r="BL8" i="1"/>
  <c r="BK8" i="1"/>
  <c r="BJ8" i="1"/>
  <c r="BI8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Z15" i="3"/>
  <c r="AB15" i="3" s="1"/>
  <c r="Z14" i="3"/>
  <c r="AB14" i="3" s="1"/>
  <c r="Z13" i="3"/>
  <c r="AB13" i="3" s="1"/>
  <c r="Z12" i="3"/>
  <c r="AB12" i="3" s="1"/>
  <c r="Z11" i="3"/>
  <c r="AB11" i="3" s="1"/>
  <c r="Z10" i="3"/>
  <c r="AB10" i="3" s="1"/>
  <c r="Z9" i="3"/>
  <c r="AB9" i="3" s="1"/>
  <c r="Z8" i="3"/>
  <c r="AB8" i="3" s="1"/>
  <c r="Z7" i="3"/>
  <c r="Z6" i="3"/>
  <c r="AB6" i="3" s="1"/>
  <c r="X15" i="3"/>
  <c r="X14" i="3"/>
  <c r="X13" i="3"/>
  <c r="X12" i="3"/>
  <c r="X11" i="3"/>
  <c r="X10" i="3"/>
  <c r="X9" i="3"/>
  <c r="X8" i="3"/>
  <c r="X7" i="3"/>
  <c r="X6" i="3"/>
  <c r="R15" i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R14" i="1"/>
  <c r="S14" i="1" s="1"/>
  <c r="T14" i="1" s="1"/>
  <c r="U14" i="1" s="1"/>
  <c r="V14" i="1" s="1"/>
  <c r="W14" i="1" s="1"/>
  <c r="X14" i="1" s="1"/>
  <c r="Y14" i="1" s="1"/>
  <c r="Z14" i="1" s="1"/>
  <c r="AA14" i="1" s="1"/>
  <c r="AB14" i="1" s="1"/>
  <c r="AC14" i="1" s="1"/>
  <c r="AD14" i="1" s="1"/>
  <c r="AE14" i="1" s="1"/>
  <c r="AF14" i="1" s="1"/>
  <c r="AG14" i="1" s="1"/>
  <c r="AH14" i="1" s="1"/>
  <c r="AI14" i="1" s="1"/>
  <c r="AJ14" i="1" s="1"/>
  <c r="AK14" i="1" s="1"/>
  <c r="AL14" i="1" s="1"/>
  <c r="AM14" i="1" s="1"/>
  <c r="AN14" i="1" s="1"/>
  <c r="AO14" i="1" s="1"/>
  <c r="AP14" i="1" s="1"/>
  <c r="R13" i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AK13" i="1" s="1"/>
  <c r="AL13" i="1" s="1"/>
  <c r="AM13" i="1" s="1"/>
  <c r="AN13" i="1" s="1"/>
  <c r="AO13" i="1" s="1"/>
  <c r="AP13" i="1" s="1"/>
  <c r="R12" i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R11" i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R10" i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R9" i="1"/>
  <c r="S9" i="1" s="1"/>
  <c r="T9" i="1" s="1"/>
  <c r="U9" i="1" s="1"/>
  <c r="V9" i="1" s="1"/>
  <c r="W9" i="1" s="1"/>
  <c r="X9" i="1" s="1"/>
  <c r="Y9" i="1" s="1"/>
  <c r="Z9" i="1" s="1"/>
  <c r="AA9" i="1" s="1"/>
  <c r="AB9" i="1" s="1"/>
  <c r="AC9" i="1" s="1"/>
  <c r="AD9" i="1" s="1"/>
  <c r="AE9" i="1" s="1"/>
  <c r="AF9" i="1" s="1"/>
  <c r="AG9" i="1" s="1"/>
  <c r="AH9" i="1" s="1"/>
  <c r="AI9" i="1" s="1"/>
  <c r="AJ9" i="1" s="1"/>
  <c r="R8" i="1"/>
  <c r="S8" i="1" s="1"/>
  <c r="T8" i="1" s="1"/>
  <c r="U8" i="1" s="1"/>
  <c r="V8" i="1" s="1"/>
  <c r="W8" i="1" s="1"/>
  <c r="X8" i="1" s="1"/>
  <c r="Y8" i="1" s="1"/>
  <c r="Z8" i="1" s="1"/>
  <c r="AA8" i="1" s="1"/>
  <c r="AB8" i="1" s="1"/>
  <c r="AC8" i="1" s="1"/>
  <c r="AD8" i="1" s="1"/>
  <c r="AE8" i="1" s="1"/>
  <c r="AF8" i="1" s="1"/>
  <c r="AG8" i="1" s="1"/>
  <c r="AH8" i="1" s="1"/>
  <c r="AI8" i="1" s="1"/>
  <c r="R7" i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S6" i="1"/>
  <c r="T6" i="1" s="1"/>
  <c r="U6" i="1" s="1"/>
  <c r="V6" i="1" s="1"/>
  <c r="W6" i="1" s="1"/>
  <c r="X6" i="1" s="1"/>
  <c r="Y6" i="1" s="1"/>
  <c r="Z6" i="1" s="1"/>
  <c r="AA6" i="1" s="1"/>
  <c r="AB6" i="1" s="1"/>
  <c r="AC6" i="1" s="1"/>
  <c r="AD6" i="1" s="1"/>
  <c r="AE6" i="1" s="1"/>
  <c r="AF6" i="1" s="1"/>
  <c r="AG6" i="1" s="1"/>
  <c r="U15" i="3"/>
  <c r="U14" i="3"/>
  <c r="U13" i="3"/>
  <c r="U12" i="3"/>
  <c r="U11" i="3"/>
  <c r="U10" i="3"/>
  <c r="U9" i="3"/>
  <c r="U8" i="3"/>
  <c r="U7" i="3"/>
  <c r="U6" i="3"/>
  <c r="AB7" i="3" l="1"/>
  <c r="Z16" i="3"/>
  <c r="EQ6" i="1"/>
  <c r="EQ7" i="1"/>
  <c r="EQ8" i="1"/>
  <c r="ER8" i="1" s="1"/>
  <c r="EQ9" i="1"/>
  <c r="ER9" i="1" s="1"/>
  <c r="EQ10" i="1"/>
  <c r="ER10" i="1" s="1"/>
  <c r="N10" i="1"/>
  <c r="N6" i="1"/>
  <c r="N9" i="1"/>
  <c r="N7" i="1"/>
  <c r="N8" i="1"/>
  <c r="BG10" i="1"/>
  <c r="AH6" i="1"/>
  <c r="AI6" i="1" s="1"/>
  <c r="AJ6" i="1" s="1"/>
  <c r="AK6" i="1" s="1"/>
  <c r="AL6" i="1" s="1"/>
  <c r="AM6" i="1" s="1"/>
  <c r="AN6" i="1" s="1"/>
  <c r="AO6" i="1" s="1"/>
  <c r="AP6" i="1" s="1"/>
  <c r="CN6" i="1" s="1"/>
  <c r="AH10" i="1"/>
  <c r="AI10" i="1" s="1"/>
  <c r="AJ10" i="1" s="1"/>
  <c r="AK10" i="1" s="1"/>
  <c r="AL10" i="1" s="1"/>
  <c r="AM10" i="1" s="1"/>
  <c r="AN10" i="1" s="1"/>
  <c r="AO10" i="1" s="1"/>
  <c r="CM10" i="1" s="1"/>
  <c r="BS9" i="1"/>
  <c r="BW9" i="1"/>
  <c r="CA9" i="1"/>
  <c r="CE9" i="1"/>
  <c r="BT6" i="1"/>
  <c r="CB6" i="1"/>
  <c r="BV8" i="1"/>
  <c r="BY9" i="1"/>
  <c r="CC9" i="1"/>
  <c r="BT10" i="1"/>
  <c r="BR6" i="1"/>
  <c r="BV6" i="1"/>
  <c r="BZ6" i="1"/>
  <c r="CD6" i="1"/>
  <c r="BR10" i="1"/>
  <c r="BV10" i="1"/>
  <c r="BZ10" i="1"/>
  <c r="CD10" i="1"/>
  <c r="BP10" i="1"/>
  <c r="BS6" i="1"/>
  <c r="BW6" i="1"/>
  <c r="CA6" i="1"/>
  <c r="CE6" i="1"/>
  <c r="BS10" i="1"/>
  <c r="BW10" i="1"/>
  <c r="CA10" i="1"/>
  <c r="CE10" i="1"/>
  <c r="BR8" i="1"/>
  <c r="CB10" i="1"/>
  <c r="BQ6" i="1"/>
  <c r="BU6" i="1"/>
  <c r="BY6" i="1"/>
  <c r="CC6" i="1"/>
  <c r="BS8" i="1"/>
  <c r="BW8" i="1"/>
  <c r="CA8" i="1"/>
  <c r="CE8" i="1"/>
  <c r="BR9" i="1"/>
  <c r="BV9" i="1"/>
  <c r="BZ9" i="1"/>
  <c r="CD9" i="1"/>
  <c r="CH9" i="1"/>
  <c r="BQ10" i="1"/>
  <c r="BU10" i="1"/>
  <c r="BY10" i="1"/>
  <c r="CC10" i="1"/>
  <c r="BP7" i="1"/>
  <c r="BT7" i="1"/>
  <c r="BX7" i="1"/>
  <c r="BP8" i="1"/>
  <c r="BT8" i="1"/>
  <c r="BX8" i="1"/>
  <c r="CB8" i="1"/>
  <c r="CF8" i="1"/>
  <c r="CD8" i="1"/>
  <c r="BQ8" i="1"/>
  <c r="BU8" i="1"/>
  <c r="BY8" i="1"/>
  <c r="CC8" i="1"/>
  <c r="CG8" i="1"/>
  <c r="BP9" i="1"/>
  <c r="BT9" i="1"/>
  <c r="BX9" i="1"/>
  <c r="CB9" i="1"/>
  <c r="CF9" i="1"/>
  <c r="BU9" i="1"/>
  <c r="BX6" i="1"/>
  <c r="BW7" i="1"/>
  <c r="BZ8" i="1"/>
  <c r="BQ9" i="1"/>
  <c r="CG9" i="1"/>
  <c r="BX10" i="1"/>
  <c r="CB7" i="1"/>
  <c r="BQ7" i="1"/>
  <c r="BU7" i="1"/>
  <c r="BY7" i="1"/>
  <c r="CC7" i="1"/>
  <c r="BS7" i="1"/>
  <c r="CA7" i="1"/>
  <c r="BR7" i="1"/>
  <c r="BV7" i="1"/>
  <c r="BZ7" i="1"/>
  <c r="CD7" i="1"/>
  <c r="BP6" i="1"/>
  <c r="AK9" i="1"/>
  <c r="AL9" i="1" s="1"/>
  <c r="AM9" i="1" s="1"/>
  <c r="AJ8" i="1"/>
  <c r="AG7" i="1"/>
  <c r="DY6" i="1" l="1"/>
  <c r="EB6" i="1"/>
  <c r="DZ6" i="1"/>
  <c r="EA6" i="1"/>
  <c r="EC6" i="1"/>
  <c r="EL6" i="1"/>
  <c r="DX6" i="1"/>
  <c r="AP10" i="1"/>
  <c r="CN10" i="1" s="1"/>
  <c r="CL6" i="1"/>
  <c r="EJ6" i="1" s="1"/>
  <c r="CK6" i="1"/>
  <c r="EI6" i="1" s="1"/>
  <c r="CH6" i="1"/>
  <c r="EF6" i="1" s="1"/>
  <c r="CF6" i="1"/>
  <c r="ED6" i="1" s="1"/>
  <c r="CG6" i="1"/>
  <c r="EE6" i="1" s="1"/>
  <c r="CI6" i="1"/>
  <c r="EG6" i="1" s="1"/>
  <c r="CJ6" i="1"/>
  <c r="EH6" i="1" s="1"/>
  <c r="CK10" i="1"/>
  <c r="CI10" i="1"/>
  <c r="CL10" i="1"/>
  <c r="CJ10" i="1"/>
  <c r="CG10" i="1"/>
  <c r="CM6" i="1"/>
  <c r="EK6" i="1" s="1"/>
  <c r="CH10" i="1"/>
  <c r="CF10" i="1"/>
  <c r="CI9" i="1"/>
  <c r="AH7" i="1"/>
  <c r="CE7" i="1"/>
  <c r="AK8" i="1"/>
  <c r="CH8" i="1"/>
  <c r="AN9" i="1"/>
  <c r="CK9" i="1"/>
  <c r="CJ9" i="1"/>
  <c r="EM7" i="1" l="1"/>
  <c r="EM6" i="1"/>
  <c r="EO6" i="1"/>
  <c r="EN6" i="1"/>
  <c r="D23" i="1"/>
  <c r="AL8" i="1"/>
  <c r="CI8" i="1"/>
  <c r="AO9" i="1"/>
  <c r="CL9" i="1"/>
  <c r="AI7" i="1"/>
  <c r="CF7" i="1"/>
  <c r="EP6" i="1" l="1"/>
  <c r="O10" i="1"/>
  <c r="P10" i="1" s="1"/>
  <c r="AJ7" i="1"/>
  <c r="CG7" i="1"/>
  <c r="AM8" i="1"/>
  <c r="CJ8" i="1"/>
  <c r="AP9" i="1"/>
  <c r="CN9" i="1" s="1"/>
  <c r="CM9" i="1"/>
  <c r="O6" i="1" l="1"/>
  <c r="P6" i="1" s="1"/>
  <c r="ER6" i="1"/>
  <c r="O9" i="1"/>
  <c r="P9" i="1" s="1"/>
  <c r="AN8" i="1"/>
  <c r="CK8" i="1"/>
  <c r="AK7" i="1"/>
  <c r="CH7" i="1"/>
  <c r="AO8" i="1" l="1"/>
  <c r="CL8" i="1"/>
  <c r="AL7" i="1"/>
  <c r="CI7" i="1"/>
  <c r="EN7" i="1" s="1"/>
  <c r="AM7" i="1" l="1"/>
  <c r="CJ7" i="1"/>
  <c r="AP8" i="1"/>
  <c r="CN8" i="1" s="1"/>
  <c r="CM8" i="1"/>
  <c r="O8" i="1" l="1"/>
  <c r="P8" i="1" s="1"/>
  <c r="AN7" i="1"/>
  <c r="CK7" i="1"/>
  <c r="AO7" i="1" l="1"/>
  <c r="CL7" i="1"/>
  <c r="AP7" i="1" l="1"/>
  <c r="CN7" i="1" s="1"/>
  <c r="CM7" i="1"/>
  <c r="EO7" i="1" l="1"/>
  <c r="EP7" i="1" s="1"/>
  <c r="ER7" i="1" s="1"/>
  <c r="O7" i="1" l="1"/>
  <c r="P7" i="1" s="1"/>
</calcChain>
</file>

<file path=xl/sharedStrings.xml><?xml version="1.0" encoding="utf-8"?>
<sst xmlns="http://schemas.openxmlformats.org/spreadsheetml/2006/main" count="649" uniqueCount="333">
  <si>
    <t>Sno</t>
  </si>
  <si>
    <t>Cust Part No</t>
  </si>
  <si>
    <t>Cust Part Name</t>
  </si>
  <si>
    <t>Local Part No</t>
  </si>
  <si>
    <t>Local Part Name</t>
  </si>
  <si>
    <t>Quote Reference</t>
  </si>
  <si>
    <t>Initial Quote date</t>
  </si>
  <si>
    <t>USD</t>
  </si>
  <si>
    <t>EU</t>
  </si>
  <si>
    <t>GBP</t>
  </si>
  <si>
    <t>CAD</t>
  </si>
  <si>
    <t>AUD</t>
  </si>
  <si>
    <t>JPY</t>
  </si>
  <si>
    <t>SGD</t>
  </si>
  <si>
    <t>HKD</t>
  </si>
  <si>
    <t>CNY</t>
  </si>
  <si>
    <t>Copper</t>
  </si>
  <si>
    <t>Zinc</t>
  </si>
  <si>
    <t>Rubber</t>
  </si>
  <si>
    <t>Crude Oil</t>
  </si>
  <si>
    <t>Plastic- Grade 1</t>
  </si>
  <si>
    <t>Plastic- Grade 2</t>
  </si>
  <si>
    <t>Plastic- Grade 3</t>
  </si>
  <si>
    <t>Last Settled Currency</t>
  </si>
  <si>
    <t xml:space="preserve">Last Settled Commodity </t>
  </si>
  <si>
    <t>HR Scrap</t>
  </si>
  <si>
    <t>CR Scrap</t>
  </si>
  <si>
    <t>Copper Scrap</t>
  </si>
  <si>
    <t>Plastic Scrap</t>
  </si>
  <si>
    <t>Last Settled Quote Date</t>
  </si>
  <si>
    <t>Child Part</t>
  </si>
  <si>
    <t>Qty</t>
  </si>
  <si>
    <t>UOM</t>
  </si>
  <si>
    <t>Raw Material</t>
  </si>
  <si>
    <t>Commodity</t>
  </si>
  <si>
    <t>Currency</t>
  </si>
  <si>
    <t xml:space="preserve">Scrap </t>
  </si>
  <si>
    <t>Scrap Commodity</t>
  </si>
  <si>
    <t xml:space="preserve">Last Settled Scrap </t>
  </si>
  <si>
    <t>Ref_001</t>
  </si>
  <si>
    <t>Ref_002</t>
  </si>
  <si>
    <t>Ref_003</t>
  </si>
  <si>
    <t>Ref_004</t>
  </si>
  <si>
    <t>Ref_005</t>
  </si>
  <si>
    <t>Parking Switch</t>
  </si>
  <si>
    <t>AC Switch</t>
  </si>
  <si>
    <t>Fog Lamp Switch</t>
  </si>
  <si>
    <t>Loc-Parking Switch</t>
  </si>
  <si>
    <t>Loc-AC Switch</t>
  </si>
  <si>
    <t>Loc-Fog Lamp Switch</t>
  </si>
  <si>
    <t>Child Part-01</t>
  </si>
  <si>
    <t>Child Part-02</t>
  </si>
  <si>
    <t>Child Part-03</t>
  </si>
  <si>
    <t>Child Part-04</t>
  </si>
  <si>
    <t>Child Part-05</t>
  </si>
  <si>
    <t>Child Part-06</t>
  </si>
  <si>
    <t>Child Part-07</t>
  </si>
  <si>
    <t>Child Part-08</t>
  </si>
  <si>
    <t>Child Part-09</t>
  </si>
  <si>
    <t>Child Part-10</t>
  </si>
  <si>
    <t>Nos</t>
  </si>
  <si>
    <t>g</t>
  </si>
  <si>
    <t>kg</t>
  </si>
  <si>
    <t>ml</t>
  </si>
  <si>
    <t>RM_001</t>
  </si>
  <si>
    <t>RM_002</t>
  </si>
  <si>
    <t>RM_003</t>
  </si>
  <si>
    <t>RM_004</t>
  </si>
  <si>
    <t>RM_005</t>
  </si>
  <si>
    <t>RM_006</t>
  </si>
  <si>
    <t>RM_007</t>
  </si>
  <si>
    <t>RM_008</t>
  </si>
  <si>
    <t>RM_009</t>
  </si>
  <si>
    <t>RM_010</t>
  </si>
  <si>
    <t>S No</t>
  </si>
  <si>
    <t>Settlement Ref</t>
  </si>
  <si>
    <t>Settlement Date</t>
  </si>
  <si>
    <t>SetRef_001</t>
  </si>
  <si>
    <t>SetRef_002</t>
  </si>
  <si>
    <t>SetRef_003</t>
  </si>
  <si>
    <t>SetRef_004</t>
  </si>
  <si>
    <t>SetRef_005</t>
  </si>
  <si>
    <t>SetRef_006</t>
  </si>
  <si>
    <t>SetRef_007</t>
  </si>
  <si>
    <t>SetRef_008</t>
  </si>
  <si>
    <t>SetRef_009</t>
  </si>
  <si>
    <t>Cost &amp; Curency</t>
  </si>
  <si>
    <t>Oil scrap</t>
  </si>
  <si>
    <t>Total cost</t>
  </si>
  <si>
    <t>INR</t>
  </si>
  <si>
    <t>Formula</t>
  </si>
  <si>
    <t>Current Settlement Reference</t>
  </si>
  <si>
    <t>Scrap Difference</t>
  </si>
  <si>
    <t>Commodity Difference</t>
  </si>
  <si>
    <t>Currency Difference</t>
  </si>
  <si>
    <t>Latest Currency</t>
  </si>
  <si>
    <t xml:space="preserve">Latest Commodity </t>
  </si>
  <si>
    <t xml:space="preserve">Latest Scrap </t>
  </si>
  <si>
    <t>Scrap Rate</t>
  </si>
  <si>
    <t>Currency Rate</t>
  </si>
  <si>
    <t>Scrap</t>
  </si>
  <si>
    <t>From Period</t>
  </si>
  <si>
    <t>To Period</t>
  </si>
  <si>
    <t>Total recovery</t>
  </si>
  <si>
    <t>Contribution In complete part</t>
  </si>
  <si>
    <t>Economics</t>
  </si>
  <si>
    <t>Purchasing Currency</t>
  </si>
  <si>
    <t>Contribution of currency in part</t>
  </si>
  <si>
    <t>Contribution of Commodity in Part</t>
  </si>
  <si>
    <t>Contribution of Scrap in Part</t>
  </si>
  <si>
    <t>Oil Scrap</t>
  </si>
  <si>
    <t>Child part rate</t>
  </si>
  <si>
    <t>Currency Recovery per part</t>
  </si>
  <si>
    <t xml:space="preserve"> Commodity Recovery per part</t>
  </si>
  <si>
    <t>Total Recovery/part</t>
  </si>
  <si>
    <t>Total Parts</t>
  </si>
  <si>
    <t>Recovery/part</t>
  </si>
  <si>
    <t>Settlement</t>
  </si>
  <si>
    <t>BOM</t>
  </si>
  <si>
    <t>Monthly qty</t>
  </si>
  <si>
    <t>Upload facility</t>
  </si>
  <si>
    <t>Customer</t>
  </si>
  <si>
    <t>Tata</t>
  </si>
  <si>
    <t>Ford</t>
  </si>
  <si>
    <t>Mahindra</t>
  </si>
  <si>
    <t>Cap</t>
  </si>
  <si>
    <t>hook</t>
  </si>
  <si>
    <t>Commodity rate/kg</t>
  </si>
  <si>
    <t>aavinod1987</t>
  </si>
  <si>
    <t>BOM qty</t>
  </si>
  <si>
    <t>CusRef_001</t>
  </si>
  <si>
    <t>CusRef_002</t>
  </si>
  <si>
    <t>CusRef_003</t>
  </si>
  <si>
    <t>CusRef_004</t>
  </si>
  <si>
    <t>CusRef_005</t>
  </si>
  <si>
    <t>CusRef_006</t>
  </si>
  <si>
    <t>CusRef_007</t>
  </si>
  <si>
    <t>CusRef_008</t>
  </si>
  <si>
    <t>CusRef_009</t>
  </si>
  <si>
    <t>Customer ID</t>
  </si>
  <si>
    <t>Steel</t>
  </si>
  <si>
    <t>Bronze</t>
  </si>
  <si>
    <t>Aluminum</t>
  </si>
  <si>
    <t>CurrREF_01</t>
  </si>
  <si>
    <t>CurrREF_02</t>
  </si>
  <si>
    <t>CurrREF_03</t>
  </si>
  <si>
    <t>CurrREF_04</t>
  </si>
  <si>
    <t>CurrREF_05</t>
  </si>
  <si>
    <t>CurrREF_06</t>
  </si>
  <si>
    <t>CurrREF_07</t>
  </si>
  <si>
    <t>CurrREF_08</t>
  </si>
  <si>
    <t>CurrREF_09</t>
  </si>
  <si>
    <t>CurrREF_10</t>
  </si>
  <si>
    <t>CommREF_01</t>
  </si>
  <si>
    <t>CommREF_02</t>
  </si>
  <si>
    <t>CommREF_03</t>
  </si>
  <si>
    <t>CommREF_04</t>
  </si>
  <si>
    <t>CommREF_05</t>
  </si>
  <si>
    <t>CommREF_06</t>
  </si>
  <si>
    <t>CommREF_07</t>
  </si>
  <si>
    <t>CommREF_08</t>
  </si>
  <si>
    <t>CommREF_09</t>
  </si>
  <si>
    <t>CommREF_10</t>
  </si>
  <si>
    <t>ScrapRef_001</t>
  </si>
  <si>
    <t>ScrapRef_002</t>
  </si>
  <si>
    <t>ScrapRef_003</t>
  </si>
  <si>
    <t>ScrapRef_004</t>
  </si>
  <si>
    <t>ScrapRef_005</t>
  </si>
  <si>
    <t>Effective Sales Qty</t>
  </si>
  <si>
    <t>Total Recovery</t>
  </si>
  <si>
    <t>Last Settlement Reference</t>
  </si>
  <si>
    <t>Steel  Scrap</t>
  </si>
  <si>
    <t>Aluminium Scrap</t>
  </si>
  <si>
    <t>Cust Part No (for child part)</t>
  </si>
  <si>
    <t>CusChildPNo_001</t>
  </si>
  <si>
    <t>CusChildPNo_002</t>
  </si>
  <si>
    <t>CusChildPNo_003</t>
  </si>
  <si>
    <t>CusChildPNo_004</t>
  </si>
  <si>
    <t>CusChildPNo_005</t>
  </si>
  <si>
    <t>CusChildPNo_006</t>
  </si>
  <si>
    <t>CusChildPNo_007</t>
  </si>
  <si>
    <t>CusChildPNo_008</t>
  </si>
  <si>
    <t>CusChildPNo_009</t>
  </si>
  <si>
    <t>CusChildPNo_010</t>
  </si>
  <si>
    <t>LocChildPNo_001</t>
  </si>
  <si>
    <t>LocChildPNo_002</t>
  </si>
  <si>
    <t>LocChildPNo_003</t>
  </si>
  <si>
    <t>LocChildPNo_004</t>
  </si>
  <si>
    <t>LocChildPNo_005</t>
  </si>
  <si>
    <t>LocChildPNo_006</t>
  </si>
  <si>
    <t>LocChildPNo_007</t>
  </si>
  <si>
    <t>LocChildPNo_008</t>
  </si>
  <si>
    <t>LocChildPNo_009</t>
  </si>
  <si>
    <t>LocChildPNo_010</t>
  </si>
  <si>
    <t>Outer Body</t>
  </si>
  <si>
    <t>InnerBody</t>
  </si>
  <si>
    <t>Nib</t>
  </si>
  <si>
    <t>ink</t>
  </si>
  <si>
    <t>refill</t>
  </si>
  <si>
    <t>screw</t>
  </si>
  <si>
    <t>support</t>
  </si>
  <si>
    <t>Grip</t>
  </si>
  <si>
    <t>BILL OF MATERIAL (BOM)</t>
  </si>
  <si>
    <t>Recipe</t>
  </si>
  <si>
    <t>CCS</t>
  </si>
  <si>
    <t>Cust Assy  No</t>
  </si>
  <si>
    <t>CusAssy_001</t>
  </si>
  <si>
    <t>Multi Colour Pen</t>
  </si>
  <si>
    <t>Local Assy No</t>
  </si>
  <si>
    <t>Ball Pen</t>
  </si>
  <si>
    <t>Cust Assy No</t>
  </si>
  <si>
    <t>CusAssy_002</t>
  </si>
  <si>
    <t>Cust Assy Name</t>
  </si>
  <si>
    <t>Local Assy Name</t>
  </si>
  <si>
    <t>CusAssy_003</t>
  </si>
  <si>
    <t>CusAssy_004</t>
  </si>
  <si>
    <t>CusAssy_005</t>
  </si>
  <si>
    <t>Local Assy  No</t>
  </si>
  <si>
    <t>LocAssyNo_001</t>
  </si>
  <si>
    <t>LocAssyNo_002</t>
  </si>
  <si>
    <t>LocAssyNo_003</t>
  </si>
  <si>
    <t>LocAssyNo_004</t>
  </si>
  <si>
    <t>LocAssyNo_005</t>
  </si>
  <si>
    <t>Loc-MultiPen</t>
  </si>
  <si>
    <t>Loc-Ball Pen</t>
  </si>
  <si>
    <t>Sheet</t>
  </si>
  <si>
    <t>Change</t>
  </si>
  <si>
    <t>SettlementRef</t>
  </si>
  <si>
    <t>CustID</t>
  </si>
  <si>
    <t>CustName</t>
  </si>
  <si>
    <t>CustLocation</t>
  </si>
  <si>
    <t>SettledDate</t>
  </si>
  <si>
    <t>SettlementFrom</t>
  </si>
  <si>
    <t>SettlementTo</t>
  </si>
  <si>
    <t>MainSettlementID</t>
  </si>
  <si>
    <t>Currency01</t>
  </si>
  <si>
    <t>Currency02</t>
  </si>
  <si>
    <t>Currency03</t>
  </si>
  <si>
    <t>Currency04</t>
  </si>
  <si>
    <t>Currency05</t>
  </si>
  <si>
    <t>Currency06</t>
  </si>
  <si>
    <t>Currency07</t>
  </si>
  <si>
    <t>Currency08</t>
  </si>
  <si>
    <t>Currency09</t>
  </si>
  <si>
    <t>Currency10</t>
  </si>
  <si>
    <t>Scrap01</t>
  </si>
  <si>
    <t>Scrap02</t>
  </si>
  <si>
    <t>Scrap03</t>
  </si>
  <si>
    <t>Scrap04</t>
  </si>
  <si>
    <t>Scrap05</t>
  </si>
  <si>
    <t>Scrap06</t>
  </si>
  <si>
    <t>Scrap07</t>
  </si>
  <si>
    <t>Scrap08</t>
  </si>
  <si>
    <t>Scrap09</t>
  </si>
  <si>
    <t>Scrap10</t>
  </si>
  <si>
    <t>AssyPartNo_Cust</t>
  </si>
  <si>
    <t>AssyPartNo_Local</t>
  </si>
  <si>
    <t>AssyPartName_Cust</t>
  </si>
  <si>
    <t>AssyPartName_Local</t>
  </si>
  <si>
    <t>OrigQuoteRef</t>
  </si>
  <si>
    <t>OrigQuoteDate</t>
  </si>
  <si>
    <t>Comod01</t>
  </si>
  <si>
    <t>Comod02</t>
  </si>
  <si>
    <t>Comod03</t>
  </si>
  <si>
    <t>Comod04</t>
  </si>
  <si>
    <t>Comod05</t>
  </si>
  <si>
    <t>Comod06</t>
  </si>
  <si>
    <t>Comod07</t>
  </si>
  <si>
    <t>Comod08</t>
  </si>
  <si>
    <t>Comod09</t>
  </si>
  <si>
    <t>Comod10</t>
  </si>
  <si>
    <t>ChildPartQtyInAssy</t>
  </si>
  <si>
    <t>ChildPartBOM</t>
  </si>
  <si>
    <t>Help customers in providing accurate data for their records</t>
  </si>
  <si>
    <t>allow for simultaneous increase of commodity and currency for imported items</t>
  </si>
  <si>
    <t>AssemblyDetails</t>
  </si>
  <si>
    <t>AssemblyDetailsID</t>
  </si>
  <si>
    <t>ChildPartNo_Cust</t>
  </si>
  <si>
    <t>ChildPartNo_Local</t>
  </si>
  <si>
    <t>ChildPartName_Cust</t>
  </si>
  <si>
    <t>ChildPartName_Local</t>
  </si>
  <si>
    <t>ChildPartBOMid</t>
  </si>
  <si>
    <t>ChildPartRawMatl</t>
  </si>
  <si>
    <t>UOM_QtyInAssy</t>
  </si>
  <si>
    <t>UOM_commodityin ChildPrt</t>
  </si>
  <si>
    <t>Qty_Scrap_ChildPart</t>
  </si>
  <si>
    <t>Qty_Commodity_ChildPart</t>
  </si>
  <si>
    <t>UOM_Scrap_ChildPart</t>
  </si>
  <si>
    <t>ChildPartRate</t>
  </si>
  <si>
    <t>ChildPartCostInINR</t>
  </si>
  <si>
    <t>SoldQty</t>
  </si>
  <si>
    <t>SoldQtyID</t>
  </si>
  <si>
    <t>Legend</t>
  </si>
  <si>
    <t>Orange Indicates reference fields</t>
  </si>
  <si>
    <t>CurrencyDetail</t>
  </si>
  <si>
    <t>CurrencyDetailID</t>
  </si>
  <si>
    <t>CommodityDetail</t>
  </si>
  <si>
    <t>CommodityDetailID</t>
  </si>
  <si>
    <t>ScrapDetail</t>
  </si>
  <si>
    <t>ScrapDetailID</t>
  </si>
  <si>
    <t>Qty_AssySoldInMonth</t>
  </si>
  <si>
    <t>Month_AssySold</t>
  </si>
  <si>
    <t>Year_AssySold</t>
  </si>
  <si>
    <t>AssyRecipe</t>
  </si>
  <si>
    <t>AssyRecipeID</t>
  </si>
  <si>
    <t>Option1</t>
  </si>
  <si>
    <t>Option2</t>
  </si>
  <si>
    <t>AssyRecipe_Currency</t>
  </si>
  <si>
    <t>AssyRecipe_Commodity</t>
  </si>
  <si>
    <t>AssyRecipe_Scrap</t>
  </si>
  <si>
    <t>QtyInRecipe_Currency</t>
  </si>
  <si>
    <t>QtyInRecipe_Commodity</t>
  </si>
  <si>
    <t>QtyInRecipe_Scrap</t>
  </si>
  <si>
    <t>AssyRecipe_CurrencyID</t>
  </si>
  <si>
    <t>AssyRecipe_CommodityID</t>
  </si>
  <si>
    <t>AssyRecipe_ScrapID</t>
  </si>
  <si>
    <t>all columns moved for first cell to start with cell "K6"</t>
  </si>
  <si>
    <t>SalesQty</t>
  </si>
  <si>
    <t>BOM_001</t>
  </si>
  <si>
    <t>Recipe cells deleted, all columns moved for first cell to start with cell "K6"</t>
  </si>
  <si>
    <t>Change History - Version 008</t>
  </si>
  <si>
    <t>customer never compensates for scrap fluctuations, however, you can get benefit from supplier for scrap increase</t>
  </si>
  <si>
    <t>may not suffice price increase but will atleast help in dissuading customer from annual price reduction</t>
  </si>
  <si>
    <t>can help when supplier comes with price increase requests</t>
  </si>
  <si>
    <t>Recipe_001</t>
  </si>
  <si>
    <t>New sheetr Recipe_001 added ( Note Recipe is a output or report to be derived from BOM)</t>
  </si>
  <si>
    <t>BOM_002</t>
  </si>
  <si>
    <t>Sheet deleted</t>
  </si>
  <si>
    <t>Tab colour made red indicating "Input sheet"</t>
  </si>
  <si>
    <t>Summary</t>
  </si>
  <si>
    <t>"Report" Sheet renamed as summary</t>
  </si>
  <si>
    <t>Tab colour made green  indicating "output report sheet"</t>
  </si>
  <si>
    <t>Calculation errors rectified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</si>
</sst>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[$-409]d\-mmm\-yy;@"/>
    <numFmt numFmtId="165" formatCode="_(* #,##0.0_);_(* \(#,##0.0\);_(* &quot;-&quot;??_);_(@_)"/>
    <numFmt numFmtId="166" formatCode="_(* #,##0_);_(* \(#,##0\);_(* &quot;-&quot;??_);_(@_)"/>
    <numFmt numFmtId="167" formatCode="[$-409]mmm\-yy;@"/>
    <numFmt numFmtId="168" formatCode="_(* #,##0.0_);_(* \(#,##0.0\);_(* &quot;-&quot;?_);_(@_)"/>
    <numFmt numFmtId="169" formatCode="[$₹-4009]\ #,##0.00"/>
  </numFmts>
  <fonts count="17" x14ac:knownFonts="1"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i/>
      <sz val="11"/>
      <color theme="7" tint="0.7999816888943144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FF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96">
    <xf numFmtId="0" fontId="0" fillId="0" borderId="0" xfId="0"/>
    <xf numFmtId="0" fontId="0" fillId="0" borderId="0" xfId="0" applyAlignment="1">
      <alignment wrapText="1"/>
    </xf>
    <xf numFmtId="0" fontId="1" fillId="3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1" fillId="5" borderId="0" xfId="0" applyFont="1" applyFill="1" applyAlignment="1">
      <alignment wrapText="1"/>
    </xf>
    <xf numFmtId="0" fontId="4" fillId="0" borderId="0" xfId="2"/>
    <xf numFmtId="14" fontId="0" fillId="0" borderId="0" xfId="0" applyNumberFormat="1"/>
    <xf numFmtId="164" fontId="0" fillId="0" borderId="0" xfId="0" applyNumberFormat="1"/>
    <xf numFmtId="0" fontId="3" fillId="3" borderId="0" xfId="0" applyFont="1" applyFill="1" applyAlignment="1">
      <alignment wrapText="1"/>
    </xf>
    <xf numFmtId="43" fontId="0" fillId="0" borderId="0" xfId="1" applyFont="1"/>
    <xf numFmtId="165" fontId="0" fillId="0" borderId="0" xfId="1" applyNumberFormat="1" applyFont="1"/>
    <xf numFmtId="166" fontId="0" fillId="0" borderId="0" xfId="1" applyNumberFormat="1" applyFont="1"/>
    <xf numFmtId="167" fontId="3" fillId="6" borderId="0" xfId="0" applyNumberFormat="1" applyFont="1" applyFill="1" applyAlignment="1">
      <alignment wrapText="1"/>
    </xf>
    <xf numFmtId="168" fontId="0" fillId="0" borderId="0" xfId="0" applyNumberFormat="1"/>
    <xf numFmtId="166" fontId="3" fillId="6" borderId="0" xfId="1" applyNumberFormat="1" applyFont="1" applyFill="1"/>
    <xf numFmtId="0" fontId="7" fillId="10" borderId="0" xfId="0" applyFont="1" applyFill="1" applyAlignment="1">
      <alignment wrapText="1"/>
    </xf>
    <xf numFmtId="165" fontId="7" fillId="10" borderId="0" xfId="0" applyNumberFormat="1" applyFont="1" applyFill="1" applyAlignment="1">
      <alignment wrapText="1"/>
    </xf>
    <xf numFmtId="43" fontId="7" fillId="10" borderId="0" xfId="0" applyNumberFormat="1" applyFont="1" applyFill="1" applyAlignment="1">
      <alignment wrapText="1"/>
    </xf>
    <xf numFmtId="0" fontId="0" fillId="2" borderId="0" xfId="0" applyFill="1" applyAlignment="1">
      <alignment wrapText="1"/>
    </xf>
    <xf numFmtId="0" fontId="0" fillId="2" borderId="0" xfId="0" applyFill="1"/>
    <xf numFmtId="167" fontId="3" fillId="2" borderId="0" xfId="0" applyNumberFormat="1" applyFont="1" applyFill="1" applyAlignment="1">
      <alignment wrapText="1"/>
    </xf>
    <xf numFmtId="43" fontId="0" fillId="0" borderId="0" xfId="0" applyNumberFormat="1"/>
    <xf numFmtId="0" fontId="8" fillId="8" borderId="4" xfId="0" applyFont="1" applyFill="1" applyBorder="1" applyAlignment="1">
      <alignment wrapText="1"/>
    </xf>
    <xf numFmtId="0" fontId="8" fillId="8" borderId="0" xfId="0" applyFont="1" applyFill="1" applyBorder="1" applyAlignment="1">
      <alignment wrapText="1"/>
    </xf>
    <xf numFmtId="0" fontId="8" fillId="8" borderId="5" xfId="0" applyFont="1" applyFill="1" applyBorder="1" applyAlignment="1">
      <alignment wrapText="1"/>
    </xf>
    <xf numFmtId="165" fontId="8" fillId="8" borderId="4" xfId="1" applyNumberFormat="1" applyFont="1" applyFill="1" applyBorder="1"/>
    <xf numFmtId="165" fontId="8" fillId="8" borderId="0" xfId="1" applyNumberFormat="1" applyFont="1" applyFill="1" applyBorder="1"/>
    <xf numFmtId="165" fontId="8" fillId="8" borderId="5" xfId="1" applyNumberFormat="1" applyFont="1" applyFill="1" applyBorder="1"/>
    <xf numFmtId="165" fontId="8" fillId="8" borderId="6" xfId="1" applyNumberFormat="1" applyFont="1" applyFill="1" applyBorder="1"/>
    <xf numFmtId="165" fontId="8" fillId="8" borderId="7" xfId="1" applyNumberFormat="1" applyFont="1" applyFill="1" applyBorder="1"/>
    <xf numFmtId="165" fontId="8" fillId="8" borderId="8" xfId="1" applyNumberFormat="1" applyFont="1" applyFill="1" applyBorder="1"/>
    <xf numFmtId="0" fontId="6" fillId="8" borderId="0" xfId="0" applyFont="1" applyFill="1" applyBorder="1" applyAlignment="1">
      <alignment wrapText="1"/>
    </xf>
    <xf numFmtId="0" fontId="6" fillId="8" borderId="5" xfId="0" applyFont="1" applyFill="1" applyBorder="1" applyAlignment="1">
      <alignment wrapText="1"/>
    </xf>
    <xf numFmtId="165" fontId="6" fillId="8" borderId="0" xfId="1" applyNumberFormat="1" applyFont="1" applyFill="1" applyBorder="1"/>
    <xf numFmtId="165" fontId="6" fillId="8" borderId="5" xfId="1" applyNumberFormat="1" applyFont="1" applyFill="1" applyBorder="1"/>
    <xf numFmtId="165" fontId="6" fillId="8" borderId="7" xfId="1" applyNumberFormat="1" applyFont="1" applyFill="1" applyBorder="1"/>
    <xf numFmtId="165" fontId="6" fillId="8" borderId="8" xfId="1" applyNumberFormat="1" applyFont="1" applyFill="1" applyBorder="1"/>
    <xf numFmtId="0" fontId="9" fillId="8" borderId="4" xfId="0" applyFont="1" applyFill="1" applyBorder="1" applyAlignment="1">
      <alignment wrapText="1"/>
    </xf>
    <xf numFmtId="0" fontId="9" fillId="8" borderId="0" xfId="0" applyFont="1" applyFill="1" applyBorder="1" applyAlignment="1">
      <alignment wrapText="1"/>
    </xf>
    <xf numFmtId="0" fontId="9" fillId="8" borderId="5" xfId="0" applyFont="1" applyFill="1" applyBorder="1" applyAlignment="1">
      <alignment wrapText="1"/>
    </xf>
    <xf numFmtId="165" fontId="9" fillId="8" borderId="4" xfId="1" applyNumberFormat="1" applyFont="1" applyFill="1" applyBorder="1"/>
    <xf numFmtId="165" fontId="9" fillId="8" borderId="0" xfId="1" applyNumberFormat="1" applyFont="1" applyFill="1" applyBorder="1"/>
    <xf numFmtId="165" fontId="9" fillId="8" borderId="5" xfId="1" applyNumberFormat="1" applyFont="1" applyFill="1" applyBorder="1"/>
    <xf numFmtId="165" fontId="9" fillId="8" borderId="6" xfId="1" applyNumberFormat="1" applyFont="1" applyFill="1" applyBorder="1"/>
    <xf numFmtId="165" fontId="9" fillId="8" borderId="7" xfId="1" applyNumberFormat="1" applyFont="1" applyFill="1" applyBorder="1"/>
    <xf numFmtId="165" fontId="9" fillId="8" borderId="8" xfId="1" applyNumberFormat="1" applyFont="1" applyFill="1" applyBorder="1"/>
    <xf numFmtId="169" fontId="0" fillId="0" borderId="0" xfId="0" applyNumberFormat="1"/>
    <xf numFmtId="0" fontId="12" fillId="0" borderId="0" xfId="0" applyFont="1"/>
    <xf numFmtId="0" fontId="13" fillId="3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3" fillId="6" borderId="4" xfId="0" applyFont="1" applyFill="1" applyBorder="1" applyAlignment="1">
      <alignment wrapText="1"/>
    </xf>
    <xf numFmtId="0" fontId="3" fillId="6" borderId="0" xfId="0" applyFont="1" applyFill="1" applyBorder="1" applyAlignment="1">
      <alignment wrapText="1"/>
    </xf>
    <xf numFmtId="0" fontId="3" fillId="6" borderId="5" xfId="0" applyFont="1" applyFill="1" applyBorder="1" applyAlignment="1">
      <alignment wrapText="1"/>
    </xf>
    <xf numFmtId="43" fontId="3" fillId="6" borderId="4" xfId="1" applyFont="1" applyFill="1" applyBorder="1"/>
    <xf numFmtId="165" fontId="3" fillId="6" borderId="0" xfId="1" applyNumberFormat="1" applyFont="1" applyFill="1" applyBorder="1"/>
    <xf numFmtId="165" fontId="3" fillId="6" borderId="5" xfId="1" applyNumberFormat="1" applyFont="1" applyFill="1" applyBorder="1"/>
    <xf numFmtId="43" fontId="3" fillId="6" borderId="6" xfId="1" applyFont="1" applyFill="1" applyBorder="1"/>
    <xf numFmtId="165" fontId="3" fillId="6" borderId="7" xfId="1" applyNumberFormat="1" applyFont="1" applyFill="1" applyBorder="1"/>
    <xf numFmtId="165" fontId="3" fillId="6" borderId="8" xfId="1" applyNumberFormat="1" applyFont="1" applyFill="1" applyBorder="1"/>
    <xf numFmtId="165" fontId="3" fillId="6" borderId="4" xfId="1" applyNumberFormat="1" applyFont="1" applyFill="1" applyBorder="1"/>
    <xf numFmtId="165" fontId="3" fillId="6" borderId="6" xfId="1" applyNumberFormat="1" applyFont="1" applyFill="1" applyBorder="1"/>
    <xf numFmtId="0" fontId="5" fillId="9" borderId="4" xfId="0" applyFont="1" applyFill="1" applyBorder="1" applyAlignment="1">
      <alignment wrapText="1"/>
    </xf>
    <xf numFmtId="0" fontId="5" fillId="9" borderId="0" xfId="0" applyFont="1" applyFill="1" applyBorder="1" applyAlignment="1">
      <alignment wrapText="1"/>
    </xf>
    <xf numFmtId="0" fontId="5" fillId="9" borderId="5" xfId="0" applyFont="1" applyFill="1" applyBorder="1" applyAlignment="1">
      <alignment wrapText="1"/>
    </xf>
    <xf numFmtId="165" fontId="5" fillId="9" borderId="4" xfId="1" applyNumberFormat="1" applyFont="1" applyFill="1" applyBorder="1"/>
    <xf numFmtId="165" fontId="5" fillId="9" borderId="0" xfId="1" applyNumberFormat="1" applyFont="1" applyFill="1" applyBorder="1"/>
    <xf numFmtId="165" fontId="5" fillId="9" borderId="5" xfId="1" applyNumberFormat="1" applyFont="1" applyFill="1" applyBorder="1"/>
    <xf numFmtId="165" fontId="5" fillId="9" borderId="6" xfId="1" applyNumberFormat="1" applyFont="1" applyFill="1" applyBorder="1"/>
    <xf numFmtId="165" fontId="5" fillId="9" borderId="7" xfId="1" applyNumberFormat="1" applyFont="1" applyFill="1" applyBorder="1"/>
    <xf numFmtId="165" fontId="5" fillId="9" borderId="8" xfId="1" applyNumberFormat="1" applyFont="1" applyFill="1" applyBorder="1"/>
    <xf numFmtId="0" fontId="8" fillId="10" borderId="4" xfId="0" applyFont="1" applyFill="1" applyBorder="1" applyAlignment="1">
      <alignment wrapText="1"/>
    </xf>
    <xf numFmtId="0" fontId="8" fillId="10" borderId="0" xfId="0" applyFont="1" applyFill="1" applyBorder="1" applyAlignment="1">
      <alignment wrapText="1"/>
    </xf>
    <xf numFmtId="0" fontId="8" fillId="10" borderId="5" xfId="0" applyFont="1" applyFill="1" applyBorder="1" applyAlignment="1">
      <alignment wrapText="1"/>
    </xf>
    <xf numFmtId="165" fontId="8" fillId="10" borderId="4" xfId="1" applyNumberFormat="1" applyFont="1" applyFill="1" applyBorder="1"/>
    <xf numFmtId="165" fontId="8" fillId="10" borderId="0" xfId="1" applyNumberFormat="1" applyFont="1" applyFill="1" applyBorder="1"/>
    <xf numFmtId="165" fontId="8" fillId="10" borderId="5" xfId="1" applyNumberFormat="1" applyFont="1" applyFill="1" applyBorder="1"/>
    <xf numFmtId="165" fontId="8" fillId="10" borderId="6" xfId="1" applyNumberFormat="1" applyFont="1" applyFill="1" applyBorder="1"/>
    <xf numFmtId="165" fontId="8" fillId="10" borderId="7" xfId="1" applyNumberFormat="1" applyFont="1" applyFill="1" applyBorder="1"/>
    <xf numFmtId="165" fontId="8" fillId="10" borderId="8" xfId="1" applyNumberFormat="1" applyFont="1" applyFill="1" applyBorder="1"/>
    <xf numFmtId="0" fontId="6" fillId="10" borderId="4" xfId="0" applyFont="1" applyFill="1" applyBorder="1" applyAlignment="1">
      <alignment wrapText="1"/>
    </xf>
    <xf numFmtId="0" fontId="6" fillId="10" borderId="0" xfId="0" applyFont="1" applyFill="1" applyBorder="1" applyAlignment="1">
      <alignment wrapText="1"/>
    </xf>
    <xf numFmtId="0" fontId="6" fillId="10" borderId="5" xfId="0" applyFont="1" applyFill="1" applyBorder="1" applyAlignment="1">
      <alignment wrapText="1"/>
    </xf>
    <xf numFmtId="165" fontId="6" fillId="10" borderId="4" xfId="1" applyNumberFormat="1" applyFont="1" applyFill="1" applyBorder="1"/>
    <xf numFmtId="165" fontId="6" fillId="10" borderId="0" xfId="1" applyNumberFormat="1" applyFont="1" applyFill="1" applyBorder="1"/>
    <xf numFmtId="165" fontId="6" fillId="10" borderId="5" xfId="1" applyNumberFormat="1" applyFont="1" applyFill="1" applyBorder="1"/>
    <xf numFmtId="165" fontId="6" fillId="10" borderId="6" xfId="1" applyNumberFormat="1" applyFont="1" applyFill="1" applyBorder="1"/>
    <xf numFmtId="165" fontId="6" fillId="10" borderId="7" xfId="1" applyNumberFormat="1" applyFont="1" applyFill="1" applyBorder="1"/>
    <xf numFmtId="165" fontId="6" fillId="10" borderId="8" xfId="1" applyNumberFormat="1" applyFont="1" applyFill="1" applyBorder="1"/>
    <xf numFmtId="0" fontId="9" fillId="10" borderId="4" xfId="0" applyFont="1" applyFill="1" applyBorder="1" applyAlignment="1">
      <alignment wrapText="1"/>
    </xf>
    <xf numFmtId="0" fontId="9" fillId="10" borderId="0" xfId="0" applyFont="1" applyFill="1" applyBorder="1" applyAlignment="1">
      <alignment wrapText="1"/>
    </xf>
    <xf numFmtId="0" fontId="9" fillId="10" borderId="5" xfId="0" applyFont="1" applyFill="1" applyBorder="1" applyAlignment="1">
      <alignment wrapText="1"/>
    </xf>
    <xf numFmtId="165" fontId="9" fillId="10" borderId="4" xfId="1" applyNumberFormat="1" applyFont="1" applyFill="1" applyBorder="1"/>
    <xf numFmtId="165" fontId="9" fillId="10" borderId="0" xfId="1" applyNumberFormat="1" applyFont="1" applyFill="1" applyBorder="1"/>
    <xf numFmtId="165" fontId="9" fillId="10" borderId="5" xfId="1" applyNumberFormat="1" applyFont="1" applyFill="1" applyBorder="1"/>
    <xf numFmtId="165" fontId="9" fillId="10" borderId="6" xfId="1" applyNumberFormat="1" applyFont="1" applyFill="1" applyBorder="1"/>
    <xf numFmtId="165" fontId="9" fillId="10" borderId="7" xfId="1" applyNumberFormat="1" applyFont="1" applyFill="1" applyBorder="1"/>
    <xf numFmtId="165" fontId="9" fillId="10" borderId="8" xfId="1" applyNumberFormat="1" applyFont="1" applyFill="1" applyBorder="1"/>
    <xf numFmtId="0" fontId="8" fillId="5" borderId="4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165" fontId="8" fillId="5" borderId="4" xfId="1" applyNumberFormat="1" applyFont="1" applyFill="1" applyBorder="1"/>
    <xf numFmtId="165" fontId="8" fillId="5" borderId="0" xfId="1" applyNumberFormat="1" applyFont="1" applyFill="1" applyBorder="1"/>
    <xf numFmtId="165" fontId="8" fillId="5" borderId="5" xfId="1" applyNumberFormat="1" applyFont="1" applyFill="1" applyBorder="1"/>
    <xf numFmtId="165" fontId="8" fillId="5" borderId="6" xfId="1" applyNumberFormat="1" applyFont="1" applyFill="1" applyBorder="1"/>
    <xf numFmtId="165" fontId="8" fillId="5" borderId="7" xfId="1" applyNumberFormat="1" applyFont="1" applyFill="1" applyBorder="1"/>
    <xf numFmtId="165" fontId="8" fillId="5" borderId="8" xfId="1" applyNumberFormat="1" applyFont="1" applyFill="1" applyBorder="1"/>
    <xf numFmtId="0" fontId="6" fillId="5" borderId="4" xfId="0" applyFont="1" applyFill="1" applyBorder="1" applyAlignment="1">
      <alignment wrapText="1"/>
    </xf>
    <xf numFmtId="0" fontId="6" fillId="5" borderId="0" xfId="0" applyFont="1" applyFill="1" applyBorder="1" applyAlignment="1">
      <alignment wrapText="1"/>
    </xf>
    <xf numFmtId="0" fontId="6" fillId="5" borderId="5" xfId="0" applyFont="1" applyFill="1" applyBorder="1" applyAlignment="1">
      <alignment wrapText="1"/>
    </xf>
    <xf numFmtId="165" fontId="6" fillId="5" borderId="4" xfId="1" applyNumberFormat="1" applyFont="1" applyFill="1" applyBorder="1"/>
    <xf numFmtId="165" fontId="6" fillId="5" borderId="0" xfId="1" applyNumberFormat="1" applyFont="1" applyFill="1" applyBorder="1"/>
    <xf numFmtId="165" fontId="6" fillId="5" borderId="5" xfId="1" applyNumberFormat="1" applyFont="1" applyFill="1" applyBorder="1"/>
    <xf numFmtId="165" fontId="6" fillId="5" borderId="6" xfId="1" applyNumberFormat="1" applyFont="1" applyFill="1" applyBorder="1"/>
    <xf numFmtId="165" fontId="6" fillId="5" borderId="7" xfId="1" applyNumberFormat="1" applyFont="1" applyFill="1" applyBorder="1"/>
    <xf numFmtId="165" fontId="6" fillId="5" borderId="8" xfId="1" applyNumberFormat="1" applyFont="1" applyFill="1" applyBorder="1"/>
    <xf numFmtId="0" fontId="9" fillId="5" borderId="4" xfId="0" applyFont="1" applyFill="1" applyBorder="1" applyAlignment="1">
      <alignment wrapText="1"/>
    </xf>
    <xf numFmtId="0" fontId="9" fillId="5" borderId="0" xfId="0" applyFont="1" applyFill="1" applyBorder="1" applyAlignment="1">
      <alignment wrapText="1"/>
    </xf>
    <xf numFmtId="0" fontId="9" fillId="5" borderId="5" xfId="0" applyFont="1" applyFill="1" applyBorder="1" applyAlignment="1">
      <alignment wrapText="1"/>
    </xf>
    <xf numFmtId="165" fontId="9" fillId="5" borderId="4" xfId="1" applyNumberFormat="1" applyFont="1" applyFill="1" applyBorder="1"/>
    <xf numFmtId="165" fontId="9" fillId="5" borderId="0" xfId="1" applyNumberFormat="1" applyFont="1" applyFill="1" applyBorder="1"/>
    <xf numFmtId="165" fontId="9" fillId="5" borderId="5" xfId="1" applyNumberFormat="1" applyFont="1" applyFill="1" applyBorder="1"/>
    <xf numFmtId="165" fontId="9" fillId="5" borderId="6" xfId="1" applyNumberFormat="1" applyFont="1" applyFill="1" applyBorder="1"/>
    <xf numFmtId="165" fontId="9" fillId="5" borderId="7" xfId="1" applyNumberFormat="1" applyFont="1" applyFill="1" applyBorder="1"/>
    <xf numFmtId="165" fontId="9" fillId="5" borderId="8" xfId="1" applyNumberFormat="1" applyFont="1" applyFill="1" applyBorder="1"/>
    <xf numFmtId="0" fontId="0" fillId="0" borderId="0" xfId="0" applyFill="1" applyAlignment="1">
      <alignment wrapText="1"/>
    </xf>
    <xf numFmtId="0" fontId="11" fillId="2" borderId="6" xfId="0" applyFont="1" applyFill="1" applyBorder="1" applyAlignment="1">
      <alignment wrapText="1"/>
    </xf>
    <xf numFmtId="0" fontId="11" fillId="2" borderId="7" xfId="0" applyFont="1" applyFill="1" applyBorder="1" applyAlignment="1">
      <alignment wrapText="1"/>
    </xf>
    <xf numFmtId="0" fontId="11" fillId="2" borderId="8" xfId="0" applyFont="1" applyFill="1" applyBorder="1" applyAlignment="1">
      <alignment wrapText="1"/>
    </xf>
    <xf numFmtId="0" fontId="0" fillId="0" borderId="9" xfId="0" applyBorder="1" applyAlignment="1">
      <alignment wrapText="1"/>
    </xf>
    <xf numFmtId="0" fontId="0" fillId="7" borderId="9" xfId="0" applyFill="1" applyBorder="1" applyAlignment="1">
      <alignment wrapText="1"/>
    </xf>
    <xf numFmtId="0" fontId="0" fillId="0" borderId="9" xfId="0" applyBorder="1"/>
    <xf numFmtId="0" fontId="1" fillId="4" borderId="9" xfId="0" applyFont="1" applyFill="1" applyBorder="1" applyAlignment="1">
      <alignment wrapText="1"/>
    </xf>
    <xf numFmtId="0" fontId="1" fillId="5" borderId="9" xfId="0" applyFont="1" applyFill="1" applyBorder="1" applyAlignment="1">
      <alignment wrapText="1"/>
    </xf>
    <xf numFmtId="0" fontId="1" fillId="3" borderId="9" xfId="0" applyFont="1" applyFill="1" applyBorder="1" applyAlignment="1">
      <alignment wrapText="1"/>
    </xf>
    <xf numFmtId="0" fontId="0" fillId="7" borderId="9" xfId="0" applyFill="1" applyBorder="1"/>
    <xf numFmtId="169" fontId="1" fillId="3" borderId="9" xfId="0" applyNumberFormat="1" applyFont="1" applyFill="1" applyBorder="1" applyAlignment="1">
      <alignment wrapText="1"/>
    </xf>
    <xf numFmtId="0" fontId="0" fillId="11" borderId="0" xfId="0" applyFill="1" applyAlignment="1">
      <alignment wrapText="1"/>
    </xf>
    <xf numFmtId="0" fontId="0" fillId="12" borderId="0" xfId="0" applyFill="1" applyAlignment="1">
      <alignment wrapText="1"/>
    </xf>
    <xf numFmtId="0" fontId="16" fillId="0" borderId="0" xfId="0" applyFont="1" applyAlignment="1">
      <alignment wrapText="1"/>
    </xf>
    <xf numFmtId="0" fontId="16" fillId="12" borderId="0" xfId="0" applyFont="1" applyFill="1" applyAlignment="1">
      <alignment wrapText="1"/>
    </xf>
    <xf numFmtId="0" fontId="0" fillId="8" borderId="0" xfId="0" applyFill="1" applyAlignment="1">
      <alignment wrapText="1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8" borderId="0" xfId="0" applyFill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0" fontId="15" fillId="2" borderId="2" xfId="0" applyFont="1" applyFill="1" applyBorder="1" applyAlignment="1">
      <alignment horizontal="center"/>
    </xf>
    <xf numFmtId="0" fontId="15" fillId="2" borderId="3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9" fillId="10" borderId="1" xfId="0" applyFont="1" applyFill="1" applyBorder="1" applyAlignment="1">
      <alignment horizontal="center"/>
    </xf>
    <xf numFmtId="0" fontId="9" fillId="10" borderId="2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0" fontId="7" fillId="10" borderId="0" xfId="0" applyFont="1" applyFill="1" applyAlignment="1">
      <alignment horizontal="center" wrapText="1"/>
    </xf>
    <xf numFmtId="0" fontId="8" fillId="5" borderId="1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0" fontId="8" fillId="8" borderId="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6" fillId="8" borderId="3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8" borderId="2" xfId="0" applyFont="1" applyFill="1" applyBorder="1" applyAlignment="1">
      <alignment horizontal="center"/>
    </xf>
    <xf numFmtId="0" fontId="9" fillId="8" borderId="3" xfId="0" applyFont="1" applyFill="1" applyBorder="1" applyAlignment="1">
      <alignment horizontal="center"/>
    </xf>
    <xf numFmtId="0" fontId="8" fillId="10" borderId="1" xfId="0" applyFont="1" applyFill="1" applyBorder="1" applyAlignment="1">
      <alignment horizontal="center"/>
    </xf>
    <xf numFmtId="0" fontId="8" fillId="10" borderId="2" xfId="0" applyFont="1" applyFill="1" applyBorder="1" applyAlignment="1">
      <alignment horizontal="center"/>
    </xf>
    <xf numFmtId="0" fontId="8" fillId="10" borderId="3" xfId="0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/>
    </xf>
    <xf numFmtId="0" fontId="6" fillId="10" borderId="3" xfId="0" applyFont="1" applyFill="1" applyBorder="1" applyAlignment="1">
      <alignment horizontal="center"/>
    </xf>
    <xf numFmtId="0" fontId="5" fillId="9" borderId="1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5" fillId="9" borderId="3" xfId="0" applyFont="1" applyFill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Back to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76200</xdr:rowOff>
        </xdr:from>
        <xdr:to>
          <xdr:col>9</xdr:col>
          <xdr:colOff>438150</xdr:colOff>
          <xdr:row>2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Back to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0</xdr:row>
          <xdr:rowOff>76200</xdr:rowOff>
        </xdr:from>
        <xdr:to>
          <xdr:col>2</xdr:col>
          <xdr:colOff>438150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Back to Index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B7"/>
  <sheetViews>
    <sheetView workbookViewId="0">
      <selection activeCell="A3" sqref="A3"/>
    </sheetView>
  </sheetViews>
  <sheetFormatPr defaultColWidth="8.85546875" defaultRowHeight="15" x14ac:dyDescent="0.25"/>
  <cols>
    <col min="1" max="1" width="8.85546875" style="1"/>
    <col min="2" max="2" width="57.7109375" style="1" customWidth="1"/>
    <col min="3" max="16384" width="8.85546875" style="1"/>
  </cols>
  <sheetData>
    <row r="3" spans="2:2" x14ac:dyDescent="0.25">
      <c r="B3" s="1" t="s">
        <v>273</v>
      </c>
    </row>
    <row r="4" spans="2:2" ht="30" x14ac:dyDescent="0.25">
      <c r="B4" s="1" t="s">
        <v>274</v>
      </c>
    </row>
    <row r="5" spans="2:2" ht="30" x14ac:dyDescent="0.25">
      <c r="B5" s="1" t="s">
        <v>321</v>
      </c>
    </row>
    <row r="6" spans="2:2" ht="30" x14ac:dyDescent="0.25">
      <c r="B6" s="1" t="s">
        <v>322</v>
      </c>
    </row>
    <row r="7" spans="2:2" x14ac:dyDescent="0.25">
      <c r="B7" s="1" t="s">
        <v>323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U35"/>
  <sheetViews>
    <sheetView zoomScale="90" zoomScaleNormal="90" workbookViewId="0">
      <selection activeCell="E15" sqref="E15:E16"/>
    </sheetView>
  </sheetViews>
  <sheetFormatPr defaultColWidth="8.85546875" defaultRowHeight="15" x14ac:dyDescent="0.25"/>
  <cols>
    <col min="1" max="1" width="19.28515625" style="1" customWidth="1"/>
    <col min="2" max="2" width="8.85546875" style="1"/>
    <col min="3" max="3" width="26.42578125" style="1" customWidth="1"/>
    <col min="4" max="4" width="6.28515625" style="1" customWidth="1"/>
    <col min="5" max="5" width="26.42578125" style="1" customWidth="1"/>
    <col min="6" max="6" width="6.28515625" style="1" customWidth="1"/>
    <col min="7" max="7" width="26.42578125" style="1" customWidth="1"/>
    <col min="8" max="8" width="6.28515625" style="1" customWidth="1"/>
    <col min="9" max="9" width="26.42578125" style="1" customWidth="1"/>
    <col min="10" max="10" width="6.28515625" style="1" customWidth="1"/>
    <col min="11" max="11" width="26.42578125" style="1" customWidth="1"/>
    <col min="12" max="12" width="6.28515625" style="1" customWidth="1"/>
    <col min="13" max="13" width="26.42578125" style="1" customWidth="1"/>
    <col min="14" max="14" width="6.28515625" style="1" customWidth="1"/>
    <col min="15" max="15" width="26.42578125" style="1" customWidth="1"/>
    <col min="16" max="16" width="6.28515625" style="1" customWidth="1"/>
    <col min="17" max="17" width="26.42578125" style="1" customWidth="1"/>
    <col min="18" max="18" width="6.28515625" style="1" customWidth="1"/>
    <col min="19" max="19" width="26.42578125" style="1" customWidth="1"/>
    <col min="20" max="20" width="6.28515625" style="1" customWidth="1"/>
    <col min="21" max="21" width="26.42578125" style="1" customWidth="1"/>
    <col min="22" max="22" width="6.28515625" style="1" customWidth="1"/>
    <col min="23" max="23" width="26.42578125" style="1" customWidth="1"/>
    <col min="24" max="24" width="6.28515625" style="1" customWidth="1"/>
    <col min="25" max="25" width="26.42578125" style="1" customWidth="1"/>
    <col min="26" max="26" width="6.28515625" style="1" customWidth="1"/>
    <col min="27" max="27" width="26.42578125" style="1" customWidth="1"/>
    <col min="28" max="28" width="6.28515625" style="1" customWidth="1"/>
    <col min="29" max="29" width="26.42578125" style="1" customWidth="1"/>
    <col min="30" max="30" width="6.28515625" style="1" customWidth="1"/>
    <col min="31" max="31" width="26.42578125" style="1" customWidth="1"/>
    <col min="32" max="32" width="6.28515625" style="1" customWidth="1"/>
    <col min="33" max="33" width="26.42578125" style="1" customWidth="1"/>
    <col min="34" max="34" width="6.28515625" style="1" customWidth="1"/>
    <col min="35" max="35" width="26.42578125" style="1" customWidth="1"/>
    <col min="36" max="36" width="6.28515625" style="1" customWidth="1"/>
    <col min="37" max="37" width="26.42578125" style="1" customWidth="1"/>
    <col min="38" max="38" width="6.28515625" style="1" customWidth="1"/>
    <col min="39" max="39" width="26.42578125" style="1" customWidth="1"/>
    <col min="40" max="40" width="6.28515625" style="1" customWidth="1"/>
    <col min="41" max="41" width="26.42578125" style="1" customWidth="1"/>
    <col min="42" max="42" width="6.28515625" style="1" customWidth="1"/>
    <col min="43" max="43" width="26.42578125" style="1" customWidth="1"/>
    <col min="44" max="44" width="6.28515625" style="1" customWidth="1"/>
    <col min="45" max="45" width="26.42578125" style="1" customWidth="1"/>
    <col min="46" max="46" width="6.28515625" style="1" customWidth="1"/>
    <col min="47" max="47" width="26.42578125" style="1" customWidth="1"/>
    <col min="48" max="48" width="6.28515625" style="1" customWidth="1"/>
    <col min="49" max="16384" width="8.85546875" style="1"/>
  </cols>
  <sheetData>
    <row r="1" spans="2:47" x14ac:dyDescent="0.25">
      <c r="S1" s="141" t="s">
        <v>305</v>
      </c>
      <c r="U1" s="147" t="s">
        <v>306</v>
      </c>
      <c r="V1" s="147"/>
      <c r="W1" s="147"/>
      <c r="X1" s="147"/>
      <c r="Y1" s="147"/>
    </row>
    <row r="3" spans="2:47" s="125" customFormat="1" ht="21.6" customHeight="1" x14ac:dyDescent="0.25">
      <c r="B3" s="1"/>
      <c r="C3" s="137" t="s">
        <v>121</v>
      </c>
      <c r="D3" s="1"/>
      <c r="E3" s="137" t="s">
        <v>117</v>
      </c>
      <c r="F3" s="1"/>
      <c r="G3" s="137" t="s">
        <v>294</v>
      </c>
      <c r="H3" s="1"/>
      <c r="I3" s="137" t="s">
        <v>296</v>
      </c>
      <c r="J3" s="1"/>
      <c r="K3" s="137" t="s">
        <v>298</v>
      </c>
      <c r="L3" s="1"/>
      <c r="M3" s="137" t="s">
        <v>275</v>
      </c>
      <c r="N3" s="1"/>
      <c r="O3" s="137" t="s">
        <v>272</v>
      </c>
      <c r="P3" s="1"/>
      <c r="Q3" s="137" t="s">
        <v>290</v>
      </c>
      <c r="R3" s="1"/>
      <c r="S3" s="137" t="s">
        <v>303</v>
      </c>
      <c r="T3" s="1"/>
      <c r="U3" s="137" t="s">
        <v>307</v>
      </c>
      <c r="V3" s="1"/>
      <c r="W3" s="137" t="s">
        <v>308</v>
      </c>
      <c r="X3" s="1"/>
      <c r="Y3" s="137" t="s">
        <v>309</v>
      </c>
      <c r="Z3" s="1"/>
      <c r="AA3" s="137"/>
      <c r="AB3" s="1"/>
      <c r="AC3" s="137"/>
      <c r="AD3" s="1"/>
      <c r="AE3" s="137"/>
      <c r="AF3" s="1"/>
      <c r="AG3" s="137"/>
      <c r="AH3" s="1"/>
      <c r="AI3" s="137"/>
      <c r="AJ3" s="1"/>
      <c r="AK3" s="137"/>
      <c r="AL3" s="1"/>
      <c r="AM3" s="137"/>
      <c r="AN3" s="1"/>
      <c r="AO3" s="137"/>
      <c r="AP3" s="1"/>
      <c r="AQ3" s="137"/>
      <c r="AR3" s="1"/>
      <c r="AS3" s="137"/>
      <c r="AT3" s="1"/>
      <c r="AU3" s="137"/>
    </row>
    <row r="4" spans="2:47" s="139" customFormat="1" x14ac:dyDescent="0.25">
      <c r="C4" s="139" t="s">
        <v>228</v>
      </c>
      <c r="E4" s="139" t="s">
        <v>234</v>
      </c>
      <c r="G4" s="139" t="s">
        <v>295</v>
      </c>
      <c r="I4" s="139" t="s">
        <v>297</v>
      </c>
      <c r="K4" s="139" t="s">
        <v>299</v>
      </c>
      <c r="M4" s="139" t="s">
        <v>276</v>
      </c>
      <c r="O4" s="1" t="s">
        <v>281</v>
      </c>
      <c r="Q4" s="139" t="s">
        <v>291</v>
      </c>
      <c r="S4" s="139" t="s">
        <v>304</v>
      </c>
      <c r="U4" s="139" t="s">
        <v>313</v>
      </c>
      <c r="W4" s="139" t="s">
        <v>314</v>
      </c>
      <c r="Y4" s="139" t="s">
        <v>315</v>
      </c>
    </row>
    <row r="5" spans="2:47" x14ac:dyDescent="0.25">
      <c r="C5" s="1" t="s">
        <v>229</v>
      </c>
      <c r="E5" s="1" t="s">
        <v>231</v>
      </c>
      <c r="G5" s="140" t="s">
        <v>234</v>
      </c>
      <c r="I5" s="140" t="s">
        <v>234</v>
      </c>
      <c r="K5" s="140" t="s">
        <v>234</v>
      </c>
      <c r="M5" s="138" t="s">
        <v>228</v>
      </c>
      <c r="O5" s="140" t="s">
        <v>276</v>
      </c>
      <c r="Q5" s="140" t="s">
        <v>276</v>
      </c>
      <c r="S5" s="140" t="s">
        <v>276</v>
      </c>
      <c r="U5" s="140" t="s">
        <v>276</v>
      </c>
      <c r="W5" s="140" t="s">
        <v>276</v>
      </c>
      <c r="Y5" s="140" t="s">
        <v>276</v>
      </c>
    </row>
    <row r="6" spans="2:47" x14ac:dyDescent="0.25">
      <c r="C6" s="1" t="s">
        <v>230</v>
      </c>
      <c r="E6" s="1" t="s">
        <v>232</v>
      </c>
      <c r="G6" s="1" t="s">
        <v>235</v>
      </c>
      <c r="I6" s="1" t="s">
        <v>261</v>
      </c>
      <c r="K6" s="1" t="s">
        <v>245</v>
      </c>
      <c r="M6" s="1" t="s">
        <v>255</v>
      </c>
      <c r="O6" s="1" t="s">
        <v>277</v>
      </c>
      <c r="Q6" s="1" t="s">
        <v>300</v>
      </c>
      <c r="S6" s="1" t="s">
        <v>235</v>
      </c>
      <c r="U6" s="140" t="s">
        <v>295</v>
      </c>
      <c r="W6" s="140" t="s">
        <v>297</v>
      </c>
      <c r="X6" s="139"/>
      <c r="Y6" s="140" t="s">
        <v>299</v>
      </c>
    </row>
    <row r="7" spans="2:47" x14ac:dyDescent="0.25">
      <c r="E7" s="1" t="s">
        <v>233</v>
      </c>
      <c r="G7" s="1" t="s">
        <v>236</v>
      </c>
      <c r="I7" s="1" t="s">
        <v>262</v>
      </c>
      <c r="K7" s="1" t="s">
        <v>246</v>
      </c>
      <c r="M7" s="1" t="s">
        <v>256</v>
      </c>
      <c r="O7" s="1" t="s">
        <v>278</v>
      </c>
      <c r="Q7" s="1" t="s">
        <v>301</v>
      </c>
      <c r="S7" s="1" t="s">
        <v>236</v>
      </c>
      <c r="U7" s="1" t="s">
        <v>310</v>
      </c>
      <c r="W7" s="1" t="s">
        <v>311</v>
      </c>
      <c r="Y7" s="1" t="s">
        <v>312</v>
      </c>
    </row>
    <row r="8" spans="2:47" x14ac:dyDescent="0.25">
      <c r="E8" s="138" t="s">
        <v>228</v>
      </c>
      <c r="G8" s="1" t="s">
        <v>237</v>
      </c>
      <c r="I8" s="1" t="s">
        <v>263</v>
      </c>
      <c r="K8" s="1" t="s">
        <v>247</v>
      </c>
      <c r="M8" s="1" t="s">
        <v>257</v>
      </c>
      <c r="O8" s="1" t="s">
        <v>279</v>
      </c>
      <c r="Q8" s="1" t="s">
        <v>302</v>
      </c>
      <c r="S8" s="1" t="s">
        <v>237</v>
      </c>
    </row>
    <row r="9" spans="2:47" x14ac:dyDescent="0.25">
      <c r="E9" s="140" t="s">
        <v>295</v>
      </c>
      <c r="G9" s="1" t="s">
        <v>238</v>
      </c>
      <c r="I9" s="1" t="s">
        <v>264</v>
      </c>
      <c r="K9" s="1" t="s">
        <v>248</v>
      </c>
      <c r="M9" s="1" t="s">
        <v>258</v>
      </c>
      <c r="O9" s="1" t="s">
        <v>280</v>
      </c>
      <c r="S9" s="1" t="s">
        <v>238</v>
      </c>
    </row>
    <row r="10" spans="2:47" x14ac:dyDescent="0.25">
      <c r="E10" s="140" t="s">
        <v>297</v>
      </c>
      <c r="G10" s="1" t="s">
        <v>239</v>
      </c>
      <c r="I10" s="1" t="s">
        <v>265</v>
      </c>
      <c r="K10" s="1" t="s">
        <v>249</v>
      </c>
      <c r="M10" s="1" t="s">
        <v>259</v>
      </c>
      <c r="O10" s="125" t="s">
        <v>271</v>
      </c>
      <c r="S10" s="1" t="s">
        <v>239</v>
      </c>
    </row>
    <row r="11" spans="2:47" x14ac:dyDescent="0.25">
      <c r="E11" s="140" t="s">
        <v>299</v>
      </c>
      <c r="G11" s="1" t="s">
        <v>240</v>
      </c>
      <c r="I11" s="1" t="s">
        <v>266</v>
      </c>
      <c r="K11" s="1" t="s">
        <v>250</v>
      </c>
      <c r="M11" s="1" t="s">
        <v>260</v>
      </c>
      <c r="O11" s="1" t="s">
        <v>283</v>
      </c>
      <c r="S11" s="1" t="s">
        <v>240</v>
      </c>
    </row>
    <row r="12" spans="2:47" x14ac:dyDescent="0.25">
      <c r="G12" s="1" t="s">
        <v>241</v>
      </c>
      <c r="I12" s="1" t="s">
        <v>267</v>
      </c>
      <c r="K12" s="1" t="s">
        <v>251</v>
      </c>
      <c r="O12" s="1" t="s">
        <v>282</v>
      </c>
      <c r="S12" s="1" t="s">
        <v>241</v>
      </c>
    </row>
    <row r="13" spans="2:47" x14ac:dyDescent="0.25">
      <c r="G13" s="1" t="s">
        <v>242</v>
      </c>
      <c r="I13" s="1" t="s">
        <v>268</v>
      </c>
      <c r="K13" s="1" t="s">
        <v>252</v>
      </c>
      <c r="O13" s="140" t="s">
        <v>297</v>
      </c>
      <c r="S13" s="1" t="s">
        <v>242</v>
      </c>
    </row>
    <row r="14" spans="2:47" x14ac:dyDescent="0.25">
      <c r="G14" s="1" t="s">
        <v>243</v>
      </c>
      <c r="I14" s="1" t="s">
        <v>269</v>
      </c>
      <c r="K14" s="1" t="s">
        <v>253</v>
      </c>
      <c r="O14" s="125" t="s">
        <v>286</v>
      </c>
      <c r="S14" s="1" t="s">
        <v>243</v>
      </c>
    </row>
    <row r="15" spans="2:47" x14ac:dyDescent="0.25">
      <c r="G15" s="1" t="s">
        <v>244</v>
      </c>
      <c r="I15" s="1" t="s">
        <v>270</v>
      </c>
      <c r="K15" s="1" t="s">
        <v>254</v>
      </c>
      <c r="O15" s="1" t="s">
        <v>284</v>
      </c>
      <c r="S15" s="1" t="s">
        <v>244</v>
      </c>
    </row>
    <row r="16" spans="2:47" x14ac:dyDescent="0.25">
      <c r="O16" s="140" t="s">
        <v>299</v>
      </c>
      <c r="S16" s="1" t="s">
        <v>261</v>
      </c>
    </row>
    <row r="17" spans="3:19" x14ac:dyDescent="0.25">
      <c r="O17" s="1" t="s">
        <v>285</v>
      </c>
      <c r="S17" s="1" t="s">
        <v>262</v>
      </c>
    </row>
    <row r="18" spans="3:19" x14ac:dyDescent="0.25">
      <c r="O18" s="1" t="s">
        <v>287</v>
      </c>
      <c r="S18" s="1" t="s">
        <v>263</v>
      </c>
    </row>
    <row r="19" spans="3:19" x14ac:dyDescent="0.25">
      <c r="O19" s="1" t="s">
        <v>288</v>
      </c>
      <c r="S19" s="1" t="s">
        <v>264</v>
      </c>
    </row>
    <row r="20" spans="3:19" x14ac:dyDescent="0.25">
      <c r="O20" s="1" t="s">
        <v>289</v>
      </c>
      <c r="S20" s="1" t="s">
        <v>265</v>
      </c>
    </row>
    <row r="21" spans="3:19" x14ac:dyDescent="0.25">
      <c r="C21" s="1" t="s">
        <v>292</v>
      </c>
      <c r="O21" s="140" t="s">
        <v>295</v>
      </c>
      <c r="S21" s="1" t="s">
        <v>266</v>
      </c>
    </row>
    <row r="22" spans="3:19" ht="30" x14ac:dyDescent="0.25">
      <c r="C22" s="140" t="s">
        <v>293</v>
      </c>
      <c r="S22" s="1" t="s">
        <v>267</v>
      </c>
    </row>
    <row r="23" spans="3:19" x14ac:dyDescent="0.25">
      <c r="S23" s="1" t="s">
        <v>268</v>
      </c>
    </row>
    <row r="24" spans="3:19" x14ac:dyDescent="0.25">
      <c r="S24" s="1" t="s">
        <v>269</v>
      </c>
    </row>
    <row r="25" spans="3:19" x14ac:dyDescent="0.25">
      <c r="S25" s="1" t="s">
        <v>270</v>
      </c>
    </row>
    <row r="26" spans="3:19" x14ac:dyDescent="0.25">
      <c r="S26" s="1" t="s">
        <v>245</v>
      </c>
    </row>
    <row r="27" spans="3:19" x14ac:dyDescent="0.25">
      <c r="S27" s="1" t="s">
        <v>246</v>
      </c>
    </row>
    <row r="28" spans="3:19" x14ac:dyDescent="0.25">
      <c r="S28" s="1" t="s">
        <v>247</v>
      </c>
    </row>
    <row r="29" spans="3:19" x14ac:dyDescent="0.25">
      <c r="S29" s="1" t="s">
        <v>248</v>
      </c>
    </row>
    <row r="30" spans="3:19" x14ac:dyDescent="0.25">
      <c r="S30" s="1" t="s">
        <v>249</v>
      </c>
    </row>
    <row r="31" spans="3:19" x14ac:dyDescent="0.25">
      <c r="S31" s="1" t="s">
        <v>250</v>
      </c>
    </row>
    <row r="32" spans="3:19" x14ac:dyDescent="0.25">
      <c r="S32" s="1" t="s">
        <v>251</v>
      </c>
    </row>
    <row r="33" spans="19:19" x14ac:dyDescent="0.25">
      <c r="S33" s="1" t="s">
        <v>252</v>
      </c>
    </row>
    <row r="34" spans="19:19" x14ac:dyDescent="0.25">
      <c r="S34" s="1" t="s">
        <v>253</v>
      </c>
    </row>
    <row r="35" spans="19:19" x14ac:dyDescent="0.25">
      <c r="S35" s="1" t="s">
        <v>254</v>
      </c>
    </row>
  </sheetData>
  <mergeCells count="1">
    <mergeCell ref="U1:Y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D22"/>
  <sheetViews>
    <sheetView tabSelected="1" workbookViewId="0">
      <selection activeCell="D18" sqref="D18"/>
    </sheetView>
  </sheetViews>
  <sheetFormatPr defaultColWidth="8.85546875" defaultRowHeight="15" x14ac:dyDescent="0.25"/>
  <cols>
    <col min="1" max="2" width="8.85546875" style="1"/>
    <col min="3" max="3" width="18.28515625" style="1" customWidth="1"/>
    <col min="4" max="4" width="83.42578125" style="1" customWidth="1"/>
    <col min="5" max="16384" width="8.85546875" style="1"/>
  </cols>
  <sheetData>
    <row r="1" spans="2:4" x14ac:dyDescent="0.25">
      <c r="B1" s="148" t="s">
        <v>320</v>
      </c>
      <c r="C1" s="149"/>
      <c r="D1" s="150"/>
    </row>
    <row r="2" spans="2:4" x14ac:dyDescent="0.25">
      <c r="B2" s="142" t="s">
        <v>0</v>
      </c>
      <c r="C2" s="129" t="s">
        <v>225</v>
      </c>
      <c r="D2" s="143" t="s">
        <v>226</v>
      </c>
    </row>
    <row r="3" spans="2:4" x14ac:dyDescent="0.25">
      <c r="B3" s="142">
        <v>1</v>
      </c>
      <c r="C3" s="129" t="s">
        <v>227</v>
      </c>
      <c r="D3" s="143" t="s">
        <v>316</v>
      </c>
    </row>
    <row r="4" spans="2:4" x14ac:dyDescent="0.25">
      <c r="B4" s="142">
        <v>2</v>
      </c>
      <c r="C4" s="129" t="s">
        <v>317</v>
      </c>
      <c r="D4" s="143" t="s">
        <v>316</v>
      </c>
    </row>
    <row r="5" spans="2:4" x14ac:dyDescent="0.25">
      <c r="B5" s="142">
        <v>3</v>
      </c>
      <c r="C5" s="129" t="s">
        <v>318</v>
      </c>
      <c r="D5" s="143" t="s">
        <v>319</v>
      </c>
    </row>
    <row r="6" spans="2:4" x14ac:dyDescent="0.25">
      <c r="B6" s="142">
        <v>4</v>
      </c>
      <c r="C6" s="129" t="s">
        <v>324</v>
      </c>
      <c r="D6" s="143" t="s">
        <v>325</v>
      </c>
    </row>
    <row r="7" spans="2:4" x14ac:dyDescent="0.25">
      <c r="B7" s="142">
        <v>5</v>
      </c>
      <c r="C7" s="129" t="s">
        <v>326</v>
      </c>
      <c r="D7" s="143" t="s">
        <v>327</v>
      </c>
    </row>
    <row r="8" spans="2:4" x14ac:dyDescent="0.25">
      <c r="B8" s="142">
        <v>6</v>
      </c>
      <c r="C8" s="129" t="s">
        <v>329</v>
      </c>
      <c r="D8" s="143" t="s">
        <v>330</v>
      </c>
    </row>
    <row r="9" spans="2:4" x14ac:dyDescent="0.25">
      <c r="B9" s="142">
        <v>7</v>
      </c>
      <c r="C9" s="129" t="s">
        <v>227</v>
      </c>
      <c r="D9" s="143" t="s">
        <v>328</v>
      </c>
    </row>
    <row r="10" spans="2:4" x14ac:dyDescent="0.25">
      <c r="B10" s="142">
        <v>8</v>
      </c>
      <c r="C10" s="129" t="s">
        <v>317</v>
      </c>
      <c r="D10" s="143" t="s">
        <v>328</v>
      </c>
    </row>
    <row r="11" spans="2:4" x14ac:dyDescent="0.25">
      <c r="B11" s="142">
        <v>9</v>
      </c>
      <c r="C11" s="129" t="s">
        <v>318</v>
      </c>
      <c r="D11" s="143" t="s">
        <v>328</v>
      </c>
    </row>
    <row r="12" spans="2:4" x14ac:dyDescent="0.25">
      <c r="B12" s="142">
        <v>10</v>
      </c>
      <c r="C12" s="129" t="s">
        <v>324</v>
      </c>
      <c r="D12" s="143" t="s">
        <v>331</v>
      </c>
    </row>
    <row r="13" spans="2:4" x14ac:dyDescent="0.25">
      <c r="B13" s="142">
        <v>11</v>
      </c>
      <c r="C13" s="129" t="s">
        <v>329</v>
      </c>
      <c r="D13" s="143" t="s">
        <v>331</v>
      </c>
    </row>
    <row r="14" spans="2:4" x14ac:dyDescent="0.25">
      <c r="B14" s="142">
        <v>12</v>
      </c>
      <c r="C14" s="129" t="s">
        <v>329</v>
      </c>
      <c r="D14" s="143" t="s">
        <v>332</v>
      </c>
    </row>
    <row r="15" spans="2:4" x14ac:dyDescent="0.25">
      <c r="B15" s="142">
        <v>13</v>
      </c>
      <c r="C15" s="129"/>
      <c r="D15" s="143"/>
    </row>
    <row r="16" spans="2:4" x14ac:dyDescent="0.25">
      <c r="B16" s="142">
        <v>14</v>
      </c>
      <c r="C16" s="129"/>
      <c r="D16" s="143"/>
    </row>
    <row r="17" spans="2:4" x14ac:dyDescent="0.25">
      <c r="B17" s="142">
        <v>15</v>
      </c>
      <c r="C17" s="129"/>
      <c r="D17" s="143"/>
    </row>
    <row r="18" spans="2:4" x14ac:dyDescent="0.25">
      <c r="B18" s="142">
        <v>16</v>
      </c>
      <c r="C18" s="129"/>
      <c r="D18" s="143"/>
    </row>
    <row r="19" spans="2:4" x14ac:dyDescent="0.25">
      <c r="B19" s="142">
        <v>17</v>
      </c>
      <c r="C19" s="129"/>
      <c r="D19" s="143"/>
    </row>
    <row r="20" spans="2:4" x14ac:dyDescent="0.25">
      <c r="B20" s="142">
        <v>18</v>
      </c>
      <c r="C20" s="129"/>
      <c r="D20" s="143"/>
    </row>
    <row r="21" spans="2:4" x14ac:dyDescent="0.25">
      <c r="B21" s="142">
        <v>19</v>
      </c>
      <c r="C21" s="129"/>
      <c r="D21" s="143"/>
    </row>
    <row r="22" spans="2:4" ht="15.75" thickBot="1" x14ac:dyDescent="0.3">
      <c r="B22" s="144">
        <v>20</v>
      </c>
      <c r="C22" s="145"/>
      <c r="D22" s="146"/>
    </row>
  </sheetData>
  <mergeCells count="1">
    <mergeCell ref="B1:D1"/>
  </mergeCells>
  <pageMargins left="0.7" right="0.7" top="0.75" bottom="0.75" header="0.3" footer="0.3"/>
  <pageSetup paperSize="9" orientation="portrait" horizontalDpi="4294967294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D11"/>
  <sheetViews>
    <sheetView workbookViewId="0">
      <selection activeCell="C13" sqref="C13"/>
    </sheetView>
  </sheetViews>
  <sheetFormatPr defaultRowHeight="15" x14ac:dyDescent="0.25"/>
  <cols>
    <col min="3" max="3" width="19.7109375" customWidth="1"/>
    <col min="4" max="4" width="16.5703125" customWidth="1"/>
  </cols>
  <sheetData>
    <row r="3" spans="2:4" x14ac:dyDescent="0.25">
      <c r="B3">
        <v>1</v>
      </c>
      <c r="C3" t="s">
        <v>117</v>
      </c>
      <c r="D3" t="s">
        <v>120</v>
      </c>
    </row>
    <row r="4" spans="2:4" x14ac:dyDescent="0.25">
      <c r="B4">
        <v>2</v>
      </c>
      <c r="C4" t="s">
        <v>118</v>
      </c>
      <c r="D4" t="s">
        <v>120</v>
      </c>
    </row>
    <row r="5" spans="2:4" x14ac:dyDescent="0.25">
      <c r="B5">
        <v>3</v>
      </c>
      <c r="C5" t="s">
        <v>119</v>
      </c>
      <c r="D5" t="s">
        <v>120</v>
      </c>
    </row>
    <row r="11" spans="2:4" x14ac:dyDescent="0.25">
      <c r="C11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F3:AJ22"/>
  <sheetViews>
    <sheetView workbookViewId="0">
      <pane xSplit="10" ySplit="5" topLeftCell="K6" activePane="bottomRight" state="frozen"/>
      <selection activeCell="M18" sqref="M18"/>
      <selection pane="topRight" activeCell="M18" sqref="M18"/>
      <selection pane="bottomLeft" activeCell="M18" sqref="M18"/>
      <selection pane="bottomRight" activeCell="M18" sqref="M18"/>
    </sheetView>
  </sheetViews>
  <sheetFormatPr defaultRowHeight="15" x14ac:dyDescent="0.25"/>
  <cols>
    <col min="2" max="3" width="0" hidden="1" customWidth="1"/>
    <col min="6" max="6" width="5.7109375" customWidth="1"/>
    <col min="7" max="9" width="11.7109375" customWidth="1"/>
    <col min="10" max="10" width="16.28515625" hidden="1" customWidth="1"/>
  </cols>
  <sheetData>
    <row r="3" spans="6:36" x14ac:dyDescent="0.25">
      <c r="K3" s="151" t="s">
        <v>99</v>
      </c>
      <c r="L3" s="151"/>
      <c r="M3" s="151"/>
      <c r="N3" s="151"/>
      <c r="O3" s="151"/>
      <c r="P3" s="151"/>
      <c r="Q3" s="151"/>
      <c r="R3" s="151"/>
      <c r="S3" s="151"/>
      <c r="T3" s="151"/>
      <c r="U3" s="152" t="s">
        <v>127</v>
      </c>
      <c r="V3" s="152"/>
      <c r="W3" s="152"/>
      <c r="X3" s="152"/>
      <c r="Y3" s="152"/>
      <c r="Z3" s="152"/>
      <c r="AA3" s="152"/>
      <c r="AB3" s="152"/>
      <c r="AC3" s="152"/>
      <c r="AD3" s="152"/>
      <c r="AE3" s="153" t="s">
        <v>98</v>
      </c>
      <c r="AF3" s="153"/>
      <c r="AG3" s="153"/>
      <c r="AH3" s="153"/>
      <c r="AI3" s="153"/>
    </row>
    <row r="4" spans="6:36" s="47" customFormat="1" ht="11.25" x14ac:dyDescent="0.2">
      <c r="K4" s="48" t="s">
        <v>143</v>
      </c>
      <c r="L4" s="48" t="s">
        <v>144</v>
      </c>
      <c r="M4" s="48" t="s">
        <v>145</v>
      </c>
      <c r="N4" s="48" t="s">
        <v>146</v>
      </c>
      <c r="O4" s="48" t="s">
        <v>147</v>
      </c>
      <c r="P4" s="48" t="s">
        <v>148</v>
      </c>
      <c r="Q4" s="48" t="s">
        <v>149</v>
      </c>
      <c r="R4" s="48" t="s">
        <v>150</v>
      </c>
      <c r="S4" s="48" t="s">
        <v>151</v>
      </c>
      <c r="T4" s="48" t="s">
        <v>152</v>
      </c>
      <c r="U4" s="49" t="s">
        <v>153</v>
      </c>
      <c r="V4" s="49" t="s">
        <v>154</v>
      </c>
      <c r="W4" s="49" t="s">
        <v>155</v>
      </c>
      <c r="X4" s="49" t="s">
        <v>156</v>
      </c>
      <c r="Y4" s="49" t="s">
        <v>157</v>
      </c>
      <c r="Z4" s="49" t="s">
        <v>158</v>
      </c>
      <c r="AA4" s="49" t="s">
        <v>159</v>
      </c>
      <c r="AB4" s="49" t="s">
        <v>160</v>
      </c>
      <c r="AC4" s="49" t="s">
        <v>161</v>
      </c>
      <c r="AD4" s="49" t="s">
        <v>162</v>
      </c>
      <c r="AE4" s="50" t="s">
        <v>163</v>
      </c>
      <c r="AF4" s="50" t="s">
        <v>164</v>
      </c>
      <c r="AG4" s="50" t="s">
        <v>165</v>
      </c>
      <c r="AH4" s="50" t="s">
        <v>166</v>
      </c>
      <c r="AI4" s="50" t="s">
        <v>167</v>
      </c>
    </row>
    <row r="5" spans="6:36" s="1" customFormat="1" ht="30" x14ac:dyDescent="0.25">
      <c r="F5" s="1" t="s">
        <v>74</v>
      </c>
      <c r="G5" s="1" t="s">
        <v>75</v>
      </c>
      <c r="H5" s="1" t="s">
        <v>139</v>
      </c>
      <c r="I5" s="1" t="s">
        <v>121</v>
      </c>
      <c r="J5" s="1" t="s">
        <v>76</v>
      </c>
      <c r="K5" s="2" t="s">
        <v>7</v>
      </c>
      <c r="L5" s="2" t="s">
        <v>8</v>
      </c>
      <c r="M5" s="2" t="s">
        <v>9</v>
      </c>
      <c r="N5" s="2" t="s">
        <v>10</v>
      </c>
      <c r="O5" s="2" t="s">
        <v>11</v>
      </c>
      <c r="P5" s="2" t="s">
        <v>12</v>
      </c>
      <c r="Q5" s="2" t="s">
        <v>13</v>
      </c>
      <c r="R5" s="2" t="s">
        <v>14</v>
      </c>
      <c r="S5" s="2" t="s">
        <v>15</v>
      </c>
      <c r="T5" s="2" t="s">
        <v>89</v>
      </c>
      <c r="U5" s="3" t="s">
        <v>140</v>
      </c>
      <c r="V5" s="3" t="s">
        <v>141</v>
      </c>
      <c r="W5" s="3" t="s">
        <v>142</v>
      </c>
      <c r="X5" s="3" t="s">
        <v>16</v>
      </c>
      <c r="Y5" s="3" t="s">
        <v>17</v>
      </c>
      <c r="Z5" s="3" t="s">
        <v>18</v>
      </c>
      <c r="AA5" s="3" t="s">
        <v>19</v>
      </c>
      <c r="AB5" s="3" t="s">
        <v>20</v>
      </c>
      <c r="AC5" s="3" t="s">
        <v>21</v>
      </c>
      <c r="AD5" s="3" t="s">
        <v>22</v>
      </c>
      <c r="AE5" s="4" t="s">
        <v>25</v>
      </c>
      <c r="AF5" s="4" t="s">
        <v>26</v>
      </c>
      <c r="AG5" s="4" t="s">
        <v>27</v>
      </c>
      <c r="AH5" s="4" t="s">
        <v>28</v>
      </c>
      <c r="AI5" s="4" t="s">
        <v>110</v>
      </c>
    </row>
    <row r="6" spans="6:36" x14ac:dyDescent="0.25">
      <c r="F6">
        <v>1</v>
      </c>
      <c r="G6" t="s">
        <v>77</v>
      </c>
      <c r="H6" t="s">
        <v>130</v>
      </c>
      <c r="I6" t="s">
        <v>122</v>
      </c>
      <c r="J6" s="7">
        <v>40909</v>
      </c>
      <c r="K6" s="10">
        <v>50</v>
      </c>
      <c r="L6" s="10">
        <v>100</v>
      </c>
      <c r="M6" s="10">
        <v>97</v>
      </c>
      <c r="N6" s="10">
        <v>43</v>
      </c>
      <c r="O6" s="10">
        <v>63</v>
      </c>
      <c r="P6" s="10">
        <v>0.54</v>
      </c>
      <c r="Q6" s="10">
        <v>27</v>
      </c>
      <c r="R6" s="10">
        <v>29.700000000000003</v>
      </c>
      <c r="S6" s="10">
        <v>9.9</v>
      </c>
      <c r="T6" s="10">
        <v>0</v>
      </c>
      <c r="U6" s="10">
        <v>100</v>
      </c>
      <c r="V6" s="10">
        <v>62</v>
      </c>
      <c r="W6" s="10">
        <v>0.249</v>
      </c>
      <c r="X6" s="10">
        <v>0.60099999999999998</v>
      </c>
      <c r="Y6" s="10">
        <v>0.54089999999999994</v>
      </c>
      <c r="Z6" s="10">
        <v>0.18063000000000001</v>
      </c>
      <c r="AA6" s="10">
        <v>7.873119</v>
      </c>
      <c r="AB6" s="10">
        <v>0.13100000000000001</v>
      </c>
      <c r="AC6" s="10">
        <v>0.12052000000000002</v>
      </c>
      <c r="AD6" s="10">
        <v>0.10846800000000002</v>
      </c>
      <c r="AE6" s="10">
        <v>20</v>
      </c>
      <c r="AF6" s="10">
        <v>30</v>
      </c>
      <c r="AG6" s="10">
        <v>5.0999999999999997E-2</v>
      </c>
      <c r="AH6" s="10">
        <v>3.5794440000000011E-2</v>
      </c>
      <c r="AI6" s="10">
        <v>6.1414200000000016E-2</v>
      </c>
      <c r="AJ6" s="21"/>
    </row>
    <row r="7" spans="6:36" x14ac:dyDescent="0.25">
      <c r="F7">
        <v>2</v>
      </c>
      <c r="G7" t="s">
        <v>78</v>
      </c>
      <c r="H7" t="s">
        <v>131</v>
      </c>
      <c r="I7" t="s">
        <v>122</v>
      </c>
      <c r="J7" s="7">
        <v>41091.5</v>
      </c>
      <c r="K7" s="10">
        <v>60</v>
      </c>
      <c r="L7" s="10">
        <v>90</v>
      </c>
      <c r="M7" s="10">
        <v>93</v>
      </c>
      <c r="N7" s="10">
        <v>44</v>
      </c>
      <c r="O7" s="10">
        <v>61</v>
      </c>
      <c r="P7" s="10">
        <v>0.43</v>
      </c>
      <c r="Q7" s="10">
        <v>28</v>
      </c>
      <c r="R7" s="10">
        <v>30.800000000000004</v>
      </c>
      <c r="S7" s="10">
        <v>10.266666666666667</v>
      </c>
      <c r="T7" s="10">
        <v>0</v>
      </c>
      <c r="U7" s="10">
        <v>110</v>
      </c>
      <c r="V7" s="10">
        <v>63</v>
      </c>
      <c r="W7" s="10">
        <v>0.23499999999999999</v>
      </c>
      <c r="X7" s="10">
        <v>0.60499999999999998</v>
      </c>
      <c r="Y7" s="10">
        <v>0.54449999999999998</v>
      </c>
      <c r="Z7" s="10">
        <v>0.177285</v>
      </c>
      <c r="AA7" s="10">
        <v>8.2057859999999998</v>
      </c>
      <c r="AB7" s="10">
        <v>0.15120000000000003</v>
      </c>
      <c r="AC7" s="10">
        <v>0.13910400000000001</v>
      </c>
      <c r="AD7" s="10">
        <v>0.12519360000000002</v>
      </c>
      <c r="AE7" s="10">
        <v>21</v>
      </c>
      <c r="AF7" s="10">
        <v>31</v>
      </c>
      <c r="AG7" s="10">
        <v>5.1999999999999998E-2</v>
      </c>
      <c r="AH7" s="10">
        <v>4.1313888000000007E-2</v>
      </c>
      <c r="AI7" s="10">
        <v>6.0276900000000008E-2</v>
      </c>
      <c r="AJ7" s="21"/>
    </row>
    <row r="8" spans="6:36" x14ac:dyDescent="0.25">
      <c r="F8">
        <v>3</v>
      </c>
      <c r="G8" t="s">
        <v>79</v>
      </c>
      <c r="H8" t="s">
        <v>132</v>
      </c>
      <c r="I8" t="s">
        <v>123</v>
      </c>
      <c r="J8" s="7">
        <v>41275</v>
      </c>
      <c r="K8" s="10">
        <v>50</v>
      </c>
      <c r="L8" s="10">
        <v>83</v>
      </c>
      <c r="M8" s="10">
        <v>91</v>
      </c>
      <c r="N8" s="10">
        <v>45</v>
      </c>
      <c r="O8" s="10">
        <v>67</v>
      </c>
      <c r="P8" s="10">
        <v>0.54</v>
      </c>
      <c r="Q8" s="10">
        <v>29</v>
      </c>
      <c r="R8" s="10">
        <v>31.900000000000002</v>
      </c>
      <c r="S8" s="10">
        <v>10.633333333333335</v>
      </c>
      <c r="T8" s="10">
        <v>0</v>
      </c>
      <c r="U8" s="10">
        <v>56</v>
      </c>
      <c r="V8" s="10">
        <v>67</v>
      </c>
      <c r="W8" s="10">
        <v>0.245</v>
      </c>
      <c r="X8" s="10">
        <v>0.59899999999999998</v>
      </c>
      <c r="Y8" s="10">
        <v>0.53910000000000002</v>
      </c>
      <c r="Z8" s="10">
        <v>0.18732000000000001</v>
      </c>
      <c r="AA8" s="10">
        <v>7.6513409999999995</v>
      </c>
      <c r="AB8" s="10">
        <v>0.1449</v>
      </c>
      <c r="AC8" s="10">
        <v>0.13330800000000001</v>
      </c>
      <c r="AD8" s="10">
        <v>0.11997720000000002</v>
      </c>
      <c r="AE8" s="10">
        <v>23</v>
      </c>
      <c r="AF8" s="10">
        <v>33</v>
      </c>
      <c r="AG8" s="10">
        <v>5.3999999999999999E-2</v>
      </c>
      <c r="AH8" s="10">
        <v>3.9592476000000015E-2</v>
      </c>
      <c r="AI8" s="10">
        <v>6.3688800000000018E-2</v>
      </c>
      <c r="AJ8" s="21"/>
    </row>
    <row r="9" spans="6:36" x14ac:dyDescent="0.25">
      <c r="F9">
        <v>4</v>
      </c>
      <c r="G9" t="s">
        <v>80</v>
      </c>
      <c r="H9" t="s">
        <v>133</v>
      </c>
      <c r="I9" t="s">
        <v>124</v>
      </c>
      <c r="J9" s="7">
        <v>41456.5</v>
      </c>
      <c r="K9" s="10">
        <v>55</v>
      </c>
      <c r="L9" s="10">
        <v>85</v>
      </c>
      <c r="M9" s="10">
        <v>89</v>
      </c>
      <c r="N9" s="10">
        <v>46</v>
      </c>
      <c r="O9" s="10">
        <v>69</v>
      </c>
      <c r="P9" s="10">
        <v>0.6</v>
      </c>
      <c r="Q9" s="10">
        <v>26</v>
      </c>
      <c r="R9" s="10">
        <v>28.6</v>
      </c>
      <c r="S9" s="10">
        <v>9.5333333333333332</v>
      </c>
      <c r="T9" s="10">
        <v>0</v>
      </c>
      <c r="U9" s="10">
        <v>54</v>
      </c>
      <c r="V9" s="10">
        <v>65</v>
      </c>
      <c r="W9" s="10">
        <v>0.27600000000000002</v>
      </c>
      <c r="X9" s="10">
        <v>0.58899999999999997</v>
      </c>
      <c r="Y9" s="10">
        <v>0.53010000000000002</v>
      </c>
      <c r="Z9" s="10">
        <v>0.18063000000000001</v>
      </c>
      <c r="AA9" s="10">
        <v>7.096896000000001</v>
      </c>
      <c r="AB9" s="10">
        <v>0.13440000000000002</v>
      </c>
      <c r="AC9" s="10">
        <v>0.12364800000000001</v>
      </c>
      <c r="AD9" s="10">
        <v>0.11128320000000001</v>
      </c>
      <c r="AE9" s="10">
        <v>24</v>
      </c>
      <c r="AF9" s="10">
        <v>34</v>
      </c>
      <c r="AG9" s="10">
        <v>5.5E-2</v>
      </c>
      <c r="AH9" s="10">
        <v>3.6723456000000008E-2</v>
      </c>
      <c r="AI9" s="10">
        <v>6.1414200000000016E-2</v>
      </c>
      <c r="AJ9" s="21"/>
    </row>
    <row r="10" spans="6:36" x14ac:dyDescent="0.25">
      <c r="F10">
        <v>5</v>
      </c>
      <c r="G10" t="s">
        <v>81</v>
      </c>
      <c r="H10" t="s">
        <v>134</v>
      </c>
      <c r="I10" t="s">
        <v>123</v>
      </c>
      <c r="J10" s="7">
        <v>41640</v>
      </c>
      <c r="K10" s="10">
        <v>60</v>
      </c>
      <c r="L10" s="10">
        <v>90</v>
      </c>
      <c r="M10" s="10">
        <v>85</v>
      </c>
      <c r="N10" s="10">
        <v>43</v>
      </c>
      <c r="O10" s="10">
        <v>64</v>
      </c>
      <c r="P10" s="10">
        <v>0.5</v>
      </c>
      <c r="Q10" s="10">
        <v>24</v>
      </c>
      <c r="R10" s="10">
        <v>26.400000000000002</v>
      </c>
      <c r="S10" s="10">
        <v>8.8000000000000007</v>
      </c>
      <c r="T10" s="10">
        <v>0</v>
      </c>
      <c r="U10" s="10">
        <v>53</v>
      </c>
      <c r="V10" s="10">
        <v>64</v>
      </c>
      <c r="W10" s="10">
        <v>0.21</v>
      </c>
      <c r="X10" s="10">
        <v>0.50900000000000001</v>
      </c>
      <c r="Y10" s="10">
        <v>0.45810000000000001</v>
      </c>
      <c r="Z10" s="10">
        <v>0.177285</v>
      </c>
      <c r="AA10" s="10">
        <v>6.2097840000000009</v>
      </c>
      <c r="AB10" s="10">
        <v>0.11130000000000001</v>
      </c>
      <c r="AC10" s="10">
        <v>0.10239600000000001</v>
      </c>
      <c r="AD10" s="10">
        <v>9.2156400000000013E-2</v>
      </c>
      <c r="AE10" s="10">
        <v>25</v>
      </c>
      <c r="AF10" s="10">
        <v>35</v>
      </c>
      <c r="AG10" s="10">
        <v>5.6000000000000001E-2</v>
      </c>
      <c r="AH10" s="10">
        <v>3.0411612000000008E-2</v>
      </c>
      <c r="AI10" s="10">
        <v>6.0276900000000008E-2</v>
      </c>
      <c r="AJ10" s="21"/>
    </row>
    <row r="11" spans="6:36" x14ac:dyDescent="0.25">
      <c r="F11">
        <v>6</v>
      </c>
      <c r="G11" t="s">
        <v>82</v>
      </c>
      <c r="H11" t="s">
        <v>135</v>
      </c>
      <c r="J11" s="7"/>
    </row>
    <row r="12" spans="6:36" x14ac:dyDescent="0.25">
      <c r="F12">
        <v>7</v>
      </c>
      <c r="G12" t="s">
        <v>83</v>
      </c>
      <c r="H12" t="s">
        <v>136</v>
      </c>
      <c r="J12" s="7"/>
    </row>
    <row r="13" spans="6:36" x14ac:dyDescent="0.25">
      <c r="F13">
        <v>8</v>
      </c>
      <c r="G13" t="s">
        <v>84</v>
      </c>
      <c r="H13" t="s">
        <v>137</v>
      </c>
      <c r="J13" s="7"/>
    </row>
    <row r="14" spans="6:36" x14ac:dyDescent="0.25">
      <c r="F14">
        <v>9</v>
      </c>
      <c r="G14" t="s">
        <v>85</v>
      </c>
      <c r="H14" t="s">
        <v>138</v>
      </c>
      <c r="J14" s="7"/>
    </row>
    <row r="15" spans="6:36" x14ac:dyDescent="0.25">
      <c r="J15" s="7"/>
    </row>
    <row r="16" spans="6:36" x14ac:dyDescent="0.25">
      <c r="J16" s="7"/>
    </row>
    <row r="17" spans="10:10" x14ac:dyDescent="0.25">
      <c r="J17" s="7"/>
    </row>
    <row r="18" spans="10:10" x14ac:dyDescent="0.25">
      <c r="J18" s="7"/>
    </row>
    <row r="19" spans="10:10" x14ac:dyDescent="0.25">
      <c r="J19" s="7"/>
    </row>
    <row r="20" spans="10:10" x14ac:dyDescent="0.25">
      <c r="J20" s="7"/>
    </row>
    <row r="21" spans="10:10" x14ac:dyDescent="0.25">
      <c r="J21" s="7"/>
    </row>
    <row r="22" spans="10:10" x14ac:dyDescent="0.25">
      <c r="J22" s="7"/>
    </row>
  </sheetData>
  <mergeCells count="3">
    <mergeCell ref="K3:T3"/>
    <mergeCell ref="U3:AD3"/>
    <mergeCell ref="AE3:AI3"/>
  </mergeCell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cro1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BI16"/>
  <sheetViews>
    <sheetView workbookViewId="0">
      <pane xSplit="10" ySplit="5" topLeftCell="K6" activePane="bottomRight" state="frozen"/>
      <selection activeCell="M18" sqref="M18"/>
      <selection pane="topRight" activeCell="M18" sqref="M18"/>
      <selection pane="bottomLeft" activeCell="M18" sqref="M18"/>
      <selection pane="bottomRight" activeCell="M18" sqref="M18"/>
    </sheetView>
  </sheetViews>
  <sheetFormatPr defaultRowHeight="15" x14ac:dyDescent="0.25"/>
  <cols>
    <col min="1" max="8" width="0" hidden="1" customWidth="1"/>
    <col min="10" max="10" width="15.5703125" customWidth="1"/>
    <col min="11" max="13" width="8.140625" customWidth="1"/>
    <col min="21" max="21" width="10" bestFit="1" customWidth="1"/>
  </cols>
  <sheetData>
    <row r="1" spans="1:61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3" spans="1:61" x14ac:dyDescent="0.25">
      <c r="K3">
        <v>3</v>
      </c>
      <c r="L3">
        <v>4</v>
      </c>
      <c r="M3">
        <v>5</v>
      </c>
      <c r="N3">
        <v>6</v>
      </c>
      <c r="O3">
        <v>7</v>
      </c>
      <c r="P3">
        <v>8</v>
      </c>
      <c r="Q3">
        <v>9</v>
      </c>
      <c r="R3">
        <v>10</v>
      </c>
      <c r="S3">
        <v>11</v>
      </c>
      <c r="T3">
        <v>12</v>
      </c>
    </row>
    <row r="4" spans="1:61" x14ac:dyDescent="0.25">
      <c r="K4" s="154"/>
      <c r="L4" s="154"/>
      <c r="M4" s="154"/>
      <c r="N4" s="154"/>
      <c r="O4" s="154"/>
      <c r="P4" s="154"/>
      <c r="Q4" s="154"/>
      <c r="R4" s="154"/>
      <c r="S4" s="154"/>
      <c r="T4" s="154"/>
    </row>
    <row r="5" spans="1:61" s="1" customFormat="1" ht="40.9" customHeight="1" x14ac:dyDescent="0.25">
      <c r="J5" s="1" t="s">
        <v>205</v>
      </c>
      <c r="K5" s="12">
        <v>40909</v>
      </c>
      <c r="L5" s="12">
        <v>40940</v>
      </c>
      <c r="M5" s="12">
        <v>40969</v>
      </c>
      <c r="N5" s="12">
        <v>41000</v>
      </c>
      <c r="O5" s="12">
        <v>41030</v>
      </c>
      <c r="P5" s="12">
        <v>41061</v>
      </c>
      <c r="Q5" s="12">
        <v>41091</v>
      </c>
      <c r="R5" s="12">
        <v>41122</v>
      </c>
      <c r="S5" s="12">
        <v>41153</v>
      </c>
      <c r="T5" s="12">
        <v>41183</v>
      </c>
      <c r="U5" s="12">
        <v>41214</v>
      </c>
      <c r="V5" s="12">
        <v>41244</v>
      </c>
      <c r="W5" s="12">
        <v>41275</v>
      </c>
      <c r="X5" s="12">
        <v>41306</v>
      </c>
      <c r="Y5" s="12">
        <v>41334</v>
      </c>
      <c r="Z5" s="12">
        <v>41365</v>
      </c>
      <c r="AA5" s="12">
        <v>41395</v>
      </c>
      <c r="AB5" s="12">
        <v>41426</v>
      </c>
      <c r="AC5" s="12">
        <v>41456</v>
      </c>
      <c r="AD5" s="12">
        <v>41487</v>
      </c>
      <c r="AE5" s="12">
        <v>41518</v>
      </c>
      <c r="AF5" s="12">
        <v>41548</v>
      </c>
      <c r="AG5" s="12">
        <v>41579</v>
      </c>
      <c r="AH5" s="12">
        <v>41609</v>
      </c>
      <c r="AI5" s="12">
        <v>41640</v>
      </c>
      <c r="AJ5" s="12">
        <v>41671</v>
      </c>
      <c r="AK5" s="12">
        <v>41699</v>
      </c>
      <c r="AL5" s="12">
        <v>41730</v>
      </c>
      <c r="AM5" s="12">
        <v>41760</v>
      </c>
      <c r="AN5" s="12">
        <v>41791</v>
      </c>
      <c r="AO5" s="12">
        <v>41821</v>
      </c>
      <c r="AP5" s="12">
        <v>41852</v>
      </c>
      <c r="AQ5" s="12">
        <v>41883</v>
      </c>
      <c r="AR5" s="12">
        <v>41913</v>
      </c>
      <c r="AS5" s="12">
        <v>41944</v>
      </c>
      <c r="AT5" s="12">
        <v>41974</v>
      </c>
      <c r="AU5" s="12">
        <v>42005</v>
      </c>
      <c r="AV5" s="12">
        <v>42036</v>
      </c>
      <c r="AW5" s="12">
        <v>42064</v>
      </c>
      <c r="AX5" s="12">
        <v>42095</v>
      </c>
      <c r="AY5" s="12">
        <v>42125</v>
      </c>
      <c r="AZ5" s="12">
        <v>42156</v>
      </c>
      <c r="BA5" s="12">
        <v>42186</v>
      </c>
      <c r="BB5" s="12">
        <v>42217</v>
      </c>
      <c r="BC5" s="12">
        <v>42248</v>
      </c>
      <c r="BD5" s="12">
        <v>42278</v>
      </c>
      <c r="BE5" s="12">
        <v>42309</v>
      </c>
      <c r="BF5" s="12">
        <v>42339</v>
      </c>
    </row>
    <row r="6" spans="1:61" x14ac:dyDescent="0.25">
      <c r="J6" s="131" t="s">
        <v>206</v>
      </c>
      <c r="K6" s="14">
        <v>200</v>
      </c>
      <c r="L6" s="14">
        <v>213</v>
      </c>
      <c r="M6" s="14">
        <v>230</v>
      </c>
      <c r="N6" s="14">
        <v>205</v>
      </c>
      <c r="O6" s="14">
        <v>305</v>
      </c>
      <c r="P6" s="14">
        <v>217</v>
      </c>
      <c r="Q6" s="14">
        <v>331</v>
      </c>
      <c r="R6" s="14">
        <v>321</v>
      </c>
      <c r="S6" s="14">
        <v>283</v>
      </c>
      <c r="T6" s="14">
        <v>296</v>
      </c>
      <c r="U6" s="14">
        <v>313</v>
      </c>
      <c r="V6" s="14">
        <v>288</v>
      </c>
      <c r="W6" s="14">
        <v>388</v>
      </c>
      <c r="X6" s="14">
        <v>300</v>
      </c>
      <c r="Y6" s="14">
        <v>376</v>
      </c>
      <c r="Z6" s="14">
        <v>389</v>
      </c>
      <c r="AA6" s="14">
        <v>406</v>
      </c>
      <c r="AB6" s="14">
        <v>381</v>
      </c>
      <c r="AC6" s="14">
        <v>481</v>
      </c>
      <c r="AD6" s="14">
        <v>393</v>
      </c>
      <c r="AE6" s="14">
        <v>507</v>
      </c>
      <c r="AF6" s="14">
        <v>497</v>
      </c>
      <c r="AG6" s="14">
        <v>490</v>
      </c>
      <c r="AH6" s="14">
        <v>503</v>
      </c>
      <c r="AI6" s="14">
        <v>520</v>
      </c>
      <c r="AJ6" s="14">
        <v>495</v>
      </c>
      <c r="AK6" s="14">
        <v>595</v>
      </c>
      <c r="AL6" s="14">
        <v>507</v>
      </c>
      <c r="AM6" s="14">
        <v>473</v>
      </c>
      <c r="AN6" s="14">
        <v>486</v>
      </c>
      <c r="AO6" s="14">
        <v>503</v>
      </c>
      <c r="AP6" s="14">
        <v>478</v>
      </c>
      <c r="AQ6" s="14">
        <v>578</v>
      </c>
      <c r="AR6" s="14">
        <v>490</v>
      </c>
      <c r="AS6" s="14">
        <v>604</v>
      </c>
      <c r="AT6" s="14">
        <v>594</v>
      </c>
      <c r="AU6" s="14">
        <v>560</v>
      </c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</row>
    <row r="7" spans="1:61" x14ac:dyDescent="0.25">
      <c r="J7" t="s">
        <v>211</v>
      </c>
      <c r="K7" s="14">
        <v>121</v>
      </c>
      <c r="L7" s="14">
        <v>134</v>
      </c>
      <c r="M7" s="14">
        <v>151</v>
      </c>
      <c r="N7" s="14">
        <v>126</v>
      </c>
      <c r="O7" s="14">
        <v>226</v>
      </c>
      <c r="P7" s="14">
        <v>138</v>
      </c>
      <c r="Q7" s="14">
        <v>252</v>
      </c>
      <c r="R7" s="14">
        <v>242</v>
      </c>
      <c r="S7" s="14">
        <v>204</v>
      </c>
      <c r="T7" s="14">
        <v>217</v>
      </c>
      <c r="U7" s="14">
        <v>234</v>
      </c>
      <c r="V7" s="14">
        <v>209</v>
      </c>
      <c r="W7" s="14">
        <v>309</v>
      </c>
      <c r="X7" s="14">
        <v>221</v>
      </c>
      <c r="Y7" s="14">
        <v>297</v>
      </c>
      <c r="Z7" s="14">
        <v>310</v>
      </c>
      <c r="AA7" s="14">
        <v>327</v>
      </c>
      <c r="AB7" s="14">
        <v>302</v>
      </c>
      <c r="AC7" s="14">
        <v>402</v>
      </c>
      <c r="AD7" s="14">
        <v>314</v>
      </c>
      <c r="AE7" s="14">
        <v>428</v>
      </c>
      <c r="AF7" s="14">
        <v>418</v>
      </c>
      <c r="AG7" s="14">
        <v>411</v>
      </c>
      <c r="AH7" s="14">
        <v>424</v>
      </c>
      <c r="AI7" s="14">
        <v>441</v>
      </c>
      <c r="AJ7" s="14">
        <v>416</v>
      </c>
      <c r="AK7" s="14">
        <v>516</v>
      </c>
      <c r="AL7" s="14">
        <v>428</v>
      </c>
      <c r="AM7" s="14">
        <v>394</v>
      </c>
      <c r="AN7" s="14">
        <v>407</v>
      </c>
      <c r="AO7" s="14">
        <v>424</v>
      </c>
      <c r="AP7" s="14">
        <v>399</v>
      </c>
      <c r="AQ7" s="14">
        <v>499</v>
      </c>
      <c r="AR7" s="14">
        <v>411</v>
      </c>
      <c r="AS7" s="14">
        <v>525</v>
      </c>
      <c r="AT7" s="14">
        <v>515</v>
      </c>
      <c r="AU7" s="14">
        <v>481</v>
      </c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</row>
    <row r="8" spans="1:61" x14ac:dyDescent="0.25">
      <c r="J8" t="s">
        <v>214</v>
      </c>
      <c r="K8" s="14">
        <v>534</v>
      </c>
      <c r="L8" s="14">
        <v>547</v>
      </c>
      <c r="M8" s="14">
        <v>564</v>
      </c>
      <c r="N8" s="14">
        <v>539</v>
      </c>
      <c r="O8" s="14">
        <v>639</v>
      </c>
      <c r="P8" s="14">
        <v>551</v>
      </c>
      <c r="Q8" s="14">
        <v>665</v>
      </c>
      <c r="R8" s="14">
        <v>655</v>
      </c>
      <c r="S8" s="14">
        <v>617</v>
      </c>
      <c r="T8" s="14">
        <v>630</v>
      </c>
      <c r="U8" s="14">
        <v>647</v>
      </c>
      <c r="V8" s="14">
        <v>622</v>
      </c>
      <c r="W8" s="14">
        <v>722</v>
      </c>
      <c r="X8" s="14">
        <v>634</v>
      </c>
      <c r="Y8" s="14">
        <v>710</v>
      </c>
      <c r="Z8" s="14">
        <v>723</v>
      </c>
      <c r="AA8" s="14">
        <v>740</v>
      </c>
      <c r="AB8" s="14">
        <v>715</v>
      </c>
      <c r="AC8" s="14">
        <v>815</v>
      </c>
      <c r="AD8" s="14">
        <v>727</v>
      </c>
      <c r="AE8" s="14">
        <v>841</v>
      </c>
      <c r="AF8" s="14">
        <v>831</v>
      </c>
      <c r="AG8" s="14">
        <v>824</v>
      </c>
      <c r="AH8" s="14">
        <v>837</v>
      </c>
      <c r="AI8" s="14">
        <v>854</v>
      </c>
      <c r="AJ8" s="14">
        <v>829</v>
      </c>
      <c r="AK8" s="14">
        <v>929</v>
      </c>
      <c r="AL8" s="14">
        <v>841</v>
      </c>
      <c r="AM8" s="14">
        <v>807</v>
      </c>
      <c r="AN8" s="14">
        <v>820</v>
      </c>
      <c r="AO8" s="14">
        <v>837</v>
      </c>
      <c r="AP8" s="14">
        <v>812</v>
      </c>
      <c r="AQ8" s="14">
        <v>912</v>
      </c>
      <c r="AR8" s="14">
        <v>824</v>
      </c>
      <c r="AS8" s="14">
        <v>938</v>
      </c>
      <c r="AT8" s="14">
        <v>928</v>
      </c>
      <c r="AU8" s="14">
        <v>894</v>
      </c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</row>
    <row r="9" spans="1:61" x14ac:dyDescent="0.25">
      <c r="J9" t="s">
        <v>215</v>
      </c>
      <c r="K9" s="14">
        <v>312</v>
      </c>
      <c r="L9" s="14">
        <v>325</v>
      </c>
      <c r="M9" s="14">
        <v>342</v>
      </c>
      <c r="N9" s="14">
        <v>317</v>
      </c>
      <c r="O9" s="14">
        <v>417</v>
      </c>
      <c r="P9" s="14">
        <v>329</v>
      </c>
      <c r="Q9" s="14">
        <v>443</v>
      </c>
      <c r="R9" s="14">
        <v>433</v>
      </c>
      <c r="S9" s="14">
        <v>395</v>
      </c>
      <c r="T9" s="14">
        <v>408</v>
      </c>
      <c r="U9" s="14">
        <v>425</v>
      </c>
      <c r="V9" s="14">
        <v>400</v>
      </c>
      <c r="W9" s="14">
        <v>500</v>
      </c>
      <c r="X9" s="14">
        <v>412</v>
      </c>
      <c r="Y9" s="14">
        <v>488</v>
      </c>
      <c r="Z9" s="14">
        <v>501</v>
      </c>
      <c r="AA9" s="14">
        <v>518</v>
      </c>
      <c r="AB9" s="14">
        <v>493</v>
      </c>
      <c r="AC9" s="14">
        <v>593</v>
      </c>
      <c r="AD9" s="14">
        <v>505</v>
      </c>
      <c r="AE9" s="14">
        <v>619</v>
      </c>
      <c r="AF9" s="14">
        <v>609</v>
      </c>
      <c r="AG9" s="14">
        <v>602</v>
      </c>
      <c r="AH9" s="14">
        <v>615</v>
      </c>
      <c r="AI9" s="14">
        <v>632</v>
      </c>
      <c r="AJ9" s="14">
        <v>607</v>
      </c>
      <c r="AK9" s="14">
        <v>707</v>
      </c>
      <c r="AL9" s="14">
        <v>619</v>
      </c>
      <c r="AM9" s="14">
        <v>585</v>
      </c>
      <c r="AN9" s="14">
        <v>598</v>
      </c>
      <c r="AO9" s="14">
        <v>615</v>
      </c>
      <c r="AP9" s="14">
        <v>590</v>
      </c>
      <c r="AQ9" s="14">
        <v>690</v>
      </c>
      <c r="AR9" s="14">
        <v>602</v>
      </c>
      <c r="AS9" s="14">
        <v>716</v>
      </c>
      <c r="AT9" s="14">
        <v>706</v>
      </c>
      <c r="AU9" s="14">
        <v>672</v>
      </c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</row>
    <row r="10" spans="1:61" x14ac:dyDescent="0.25">
      <c r="J10" t="s">
        <v>216</v>
      </c>
      <c r="K10" s="14">
        <v>155</v>
      </c>
      <c r="L10" s="14">
        <v>168</v>
      </c>
      <c r="M10" s="14">
        <v>185</v>
      </c>
      <c r="N10" s="14">
        <v>160</v>
      </c>
      <c r="O10" s="14">
        <v>260</v>
      </c>
      <c r="P10" s="14">
        <v>172</v>
      </c>
      <c r="Q10" s="14">
        <v>286</v>
      </c>
      <c r="R10" s="14">
        <v>276</v>
      </c>
      <c r="S10" s="14">
        <v>238</v>
      </c>
      <c r="T10" s="14">
        <v>251</v>
      </c>
      <c r="U10" s="14">
        <v>268</v>
      </c>
      <c r="V10" s="14">
        <v>243</v>
      </c>
      <c r="W10" s="14">
        <v>343</v>
      </c>
      <c r="X10" s="14">
        <v>255</v>
      </c>
      <c r="Y10" s="14">
        <v>331</v>
      </c>
      <c r="Z10" s="14">
        <v>344</v>
      </c>
      <c r="AA10" s="14">
        <v>361</v>
      </c>
      <c r="AB10" s="14">
        <v>336</v>
      </c>
      <c r="AC10" s="14">
        <v>436</v>
      </c>
      <c r="AD10" s="14">
        <v>348</v>
      </c>
      <c r="AE10" s="14">
        <v>462</v>
      </c>
      <c r="AF10" s="14">
        <v>452</v>
      </c>
      <c r="AG10" s="14">
        <v>445</v>
      </c>
      <c r="AH10" s="14">
        <v>458</v>
      </c>
      <c r="AI10" s="14">
        <v>475</v>
      </c>
      <c r="AJ10" s="14">
        <v>450</v>
      </c>
      <c r="AK10" s="14">
        <v>550</v>
      </c>
      <c r="AL10" s="14">
        <v>462</v>
      </c>
      <c r="AM10" s="14">
        <v>428</v>
      </c>
      <c r="AN10" s="14">
        <v>441</v>
      </c>
      <c r="AO10" s="14">
        <v>458</v>
      </c>
      <c r="AP10" s="14">
        <v>433</v>
      </c>
      <c r="AQ10" s="14">
        <v>533</v>
      </c>
      <c r="AR10" s="14">
        <v>445</v>
      </c>
      <c r="AS10" s="14">
        <v>559</v>
      </c>
      <c r="AT10" s="14">
        <v>549</v>
      </c>
      <c r="AU10" s="14">
        <v>515</v>
      </c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</row>
    <row r="11" spans="1:61" x14ac:dyDescent="0.25"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</row>
    <row r="16" spans="1:61" x14ac:dyDescent="0.25">
      <c r="U16" s="11"/>
    </row>
  </sheetData>
  <mergeCells count="1">
    <mergeCell ref="K4:T4"/>
  </mergeCells>
  <dataValidations count="1">
    <dataValidation type="list" allowBlank="1" showInputMessage="1" showErrorMessage="1" sqref="K11:M18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cro1">
                <anchor moveWithCells="1" sizeWithCells="1">
                  <from>
                    <xdr:col>9</xdr:col>
                    <xdr:colOff>0</xdr:colOff>
                    <xdr:row>1</xdr:row>
                    <xdr:rowOff>76200</xdr:rowOff>
                  </from>
                  <to>
                    <xdr:col>9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K1:AB18"/>
  <sheetViews>
    <sheetView workbookViewId="0">
      <pane xSplit="11" ySplit="5" topLeftCell="L6" activePane="bottomRight" state="frozen"/>
      <selection activeCell="K6" sqref="K6"/>
      <selection pane="topRight" activeCell="K6" sqref="K6"/>
      <selection pane="bottomLeft" activeCell="K6" sqref="K6"/>
      <selection pane="bottomRight" activeCell="M18" sqref="M18"/>
    </sheetView>
  </sheetViews>
  <sheetFormatPr defaultRowHeight="15" x14ac:dyDescent="0.25"/>
  <cols>
    <col min="1" max="8" width="0" hidden="1" customWidth="1"/>
    <col min="11" max="11" width="15.85546875" customWidth="1"/>
    <col min="12" max="12" width="18.7109375" customWidth="1"/>
    <col min="13" max="13" width="12.85546875" customWidth="1"/>
    <col min="14" max="14" width="17.28515625" customWidth="1"/>
    <col min="15" max="15" width="11" customWidth="1"/>
    <col min="18" max="18" width="14.28515625" customWidth="1"/>
    <col min="19" max="19" width="18" customWidth="1"/>
    <col min="22" max="22" width="17.5703125" customWidth="1"/>
    <col min="27" max="27" width="11.28515625" customWidth="1"/>
    <col min="28" max="28" width="8.85546875" customWidth="1"/>
  </cols>
  <sheetData>
    <row r="1" spans="11:28" ht="27.6" customHeight="1" x14ac:dyDescent="0.4">
      <c r="K1" s="155" t="s">
        <v>202</v>
      </c>
      <c r="L1" s="155"/>
      <c r="M1" s="155"/>
      <c r="N1" s="155"/>
      <c r="O1" s="155"/>
      <c r="P1" s="155"/>
      <c r="Q1" s="155"/>
    </row>
    <row r="2" spans="11:28" s="1" customFormat="1" ht="45" x14ac:dyDescent="0.25">
      <c r="K2" s="129"/>
      <c r="L2" s="129"/>
      <c r="M2" s="129"/>
      <c r="N2" s="130" t="s">
        <v>210</v>
      </c>
      <c r="O2" s="130" t="s">
        <v>212</v>
      </c>
      <c r="P2" s="130" t="s">
        <v>208</v>
      </c>
      <c r="Q2" s="130" t="s">
        <v>213</v>
      </c>
      <c r="R2" s="130" t="s">
        <v>31</v>
      </c>
      <c r="S2" s="130" t="s">
        <v>32</v>
      </c>
      <c r="T2" s="129"/>
      <c r="U2" s="129"/>
      <c r="V2" s="129"/>
      <c r="W2" s="129"/>
      <c r="X2" s="129"/>
      <c r="Y2" s="129"/>
      <c r="Z2" s="129"/>
      <c r="AA2" s="129"/>
    </row>
    <row r="3" spans="11:28" x14ac:dyDescent="0.25">
      <c r="K3" s="131"/>
      <c r="L3" s="131"/>
      <c r="M3" s="131"/>
      <c r="N3" s="131" t="s">
        <v>206</v>
      </c>
      <c r="O3" s="131" t="s">
        <v>207</v>
      </c>
      <c r="P3" s="131" t="s">
        <v>218</v>
      </c>
      <c r="Q3" s="131" t="s">
        <v>207</v>
      </c>
      <c r="R3" s="131"/>
      <c r="S3" s="131"/>
      <c r="T3" s="131"/>
      <c r="U3" s="131"/>
      <c r="V3" s="131"/>
      <c r="W3" s="131"/>
      <c r="X3" s="131"/>
      <c r="Y3" s="131"/>
      <c r="Z3" s="131"/>
      <c r="AA3" s="131"/>
    </row>
    <row r="4" spans="11:28" x14ac:dyDescent="0.25">
      <c r="K4" s="131"/>
      <c r="L4" s="159" t="s">
        <v>30</v>
      </c>
      <c r="M4" s="159"/>
      <c r="N4" s="159"/>
      <c r="O4" s="159"/>
      <c r="P4" s="159"/>
      <c r="Q4" s="159"/>
      <c r="R4" s="157" t="s">
        <v>33</v>
      </c>
      <c r="S4" s="157"/>
      <c r="T4" s="157"/>
      <c r="U4" s="157"/>
      <c r="V4" s="158" t="s">
        <v>36</v>
      </c>
      <c r="W4" s="158"/>
      <c r="X4" s="158"/>
      <c r="Y4" s="156" t="s">
        <v>86</v>
      </c>
      <c r="Z4" s="156"/>
      <c r="AA4" s="156"/>
    </row>
    <row r="5" spans="11:28" ht="30" x14ac:dyDescent="0.25">
      <c r="K5" s="130" t="s">
        <v>0</v>
      </c>
      <c r="L5" s="130" t="s">
        <v>173</v>
      </c>
      <c r="M5" s="130" t="s">
        <v>2</v>
      </c>
      <c r="N5" s="130" t="s">
        <v>3</v>
      </c>
      <c r="O5" s="130" t="s">
        <v>4</v>
      </c>
      <c r="P5" s="130" t="s">
        <v>31</v>
      </c>
      <c r="Q5" s="130" t="s">
        <v>32</v>
      </c>
      <c r="R5" s="132" t="s">
        <v>33</v>
      </c>
      <c r="S5" s="132" t="s">
        <v>34</v>
      </c>
      <c r="T5" s="132" t="s">
        <v>129</v>
      </c>
      <c r="U5" s="132" t="s">
        <v>32</v>
      </c>
      <c r="V5" s="133" t="s">
        <v>37</v>
      </c>
      <c r="W5" s="133" t="s">
        <v>31</v>
      </c>
      <c r="X5" s="133" t="s">
        <v>32</v>
      </c>
      <c r="Y5" s="134" t="s">
        <v>111</v>
      </c>
      <c r="Z5" s="134" t="s">
        <v>88</v>
      </c>
      <c r="AA5" s="134" t="s">
        <v>106</v>
      </c>
      <c r="AB5" s="8" t="s">
        <v>90</v>
      </c>
    </row>
    <row r="6" spans="11:28" x14ac:dyDescent="0.25">
      <c r="K6" s="135">
        <v>1</v>
      </c>
      <c r="L6" s="135" t="s">
        <v>174</v>
      </c>
      <c r="M6" s="135" t="s">
        <v>50</v>
      </c>
      <c r="N6" s="135" t="s">
        <v>184</v>
      </c>
      <c r="O6" s="135" t="s">
        <v>125</v>
      </c>
      <c r="P6" s="135">
        <v>1</v>
      </c>
      <c r="Q6" s="135" t="s">
        <v>60</v>
      </c>
      <c r="R6" s="132" t="s">
        <v>64</v>
      </c>
      <c r="S6" s="132" t="s">
        <v>140</v>
      </c>
      <c r="T6" s="132">
        <v>0.5</v>
      </c>
      <c r="U6" s="132" t="e">
        <f>IF(S6="","",VLOOKUP(S6,#REF!,2,0))</f>
        <v>#REF!</v>
      </c>
      <c r="V6" s="133" t="s">
        <v>171</v>
      </c>
      <c r="W6" s="133">
        <v>0.05</v>
      </c>
      <c r="X6" s="133" t="e">
        <f>IF(V6="","",VLOOKUP(V6,#REF!,2,0))</f>
        <v>#REF!</v>
      </c>
      <c r="Y6" s="136">
        <v>101</v>
      </c>
      <c r="Z6" s="136">
        <f>Y6*P6</f>
        <v>101</v>
      </c>
      <c r="AA6" s="134" t="s">
        <v>89</v>
      </c>
      <c r="AB6" s="8">
        <f>Z6</f>
        <v>101</v>
      </c>
    </row>
    <row r="7" spans="11:28" x14ac:dyDescent="0.25">
      <c r="K7" s="135">
        <v>2</v>
      </c>
      <c r="L7" s="135" t="s">
        <v>175</v>
      </c>
      <c r="M7" s="135" t="s">
        <v>51</v>
      </c>
      <c r="N7" s="135" t="s">
        <v>185</v>
      </c>
      <c r="O7" s="135" t="s">
        <v>194</v>
      </c>
      <c r="P7" s="135">
        <v>1</v>
      </c>
      <c r="Q7" s="135" t="s">
        <v>60</v>
      </c>
      <c r="R7" s="132" t="s">
        <v>65</v>
      </c>
      <c r="S7" s="132" t="s">
        <v>140</v>
      </c>
      <c r="T7" s="132">
        <v>0.43</v>
      </c>
      <c r="U7" s="132" t="e">
        <f>IF(S7="","",VLOOKUP(S7,#REF!,2,0))</f>
        <v>#REF!</v>
      </c>
      <c r="V7" s="133" t="s">
        <v>171</v>
      </c>
      <c r="W7" s="133">
        <v>4.3000000000000003E-2</v>
      </c>
      <c r="X7" s="133" t="e">
        <f>IF(V7="","",VLOOKUP(V7,#REF!,2,0))</f>
        <v>#REF!</v>
      </c>
      <c r="Y7" s="136">
        <v>76</v>
      </c>
      <c r="Z7" s="136">
        <f t="shared" ref="Z7:Z15" si="0">Y7*P7</f>
        <v>76</v>
      </c>
      <c r="AA7" s="134" t="s">
        <v>89</v>
      </c>
      <c r="AB7" s="8">
        <f t="shared" ref="AB7:AB15" si="1">Z7</f>
        <v>76</v>
      </c>
    </row>
    <row r="8" spans="11:28" x14ac:dyDescent="0.25">
      <c r="K8" s="135">
        <v>3</v>
      </c>
      <c r="L8" s="135" t="s">
        <v>176</v>
      </c>
      <c r="M8" s="135" t="s">
        <v>52</v>
      </c>
      <c r="N8" s="135" t="s">
        <v>186</v>
      </c>
      <c r="O8" s="135" t="s">
        <v>126</v>
      </c>
      <c r="P8" s="135">
        <v>4</v>
      </c>
      <c r="Q8" s="135" t="s">
        <v>60</v>
      </c>
      <c r="R8" s="132" t="s">
        <v>66</v>
      </c>
      <c r="S8" s="132" t="s">
        <v>141</v>
      </c>
      <c r="T8" s="132">
        <v>0.23</v>
      </c>
      <c r="U8" s="132" t="e">
        <f>IF(S8="","",VLOOKUP(S8,#REF!,2,0))</f>
        <v>#REF!</v>
      </c>
      <c r="V8" s="133" t="s">
        <v>27</v>
      </c>
      <c r="W8" s="133">
        <v>2.3000000000000003E-2</v>
      </c>
      <c r="X8" s="133" t="e">
        <f>IF(V8="","",VLOOKUP(V8,#REF!,2,0))</f>
        <v>#REF!</v>
      </c>
      <c r="Y8" s="136">
        <v>32</v>
      </c>
      <c r="Z8" s="136">
        <f t="shared" si="0"/>
        <v>128</v>
      </c>
      <c r="AA8" s="134" t="s">
        <v>89</v>
      </c>
      <c r="AB8" s="8">
        <f t="shared" si="1"/>
        <v>128</v>
      </c>
    </row>
    <row r="9" spans="11:28" x14ac:dyDescent="0.25">
      <c r="K9" s="135">
        <v>4</v>
      </c>
      <c r="L9" s="135" t="s">
        <v>177</v>
      </c>
      <c r="M9" s="135" t="s">
        <v>53</v>
      </c>
      <c r="N9" s="135" t="s">
        <v>187</v>
      </c>
      <c r="O9" s="135" t="s">
        <v>195</v>
      </c>
      <c r="P9" s="135">
        <v>1</v>
      </c>
      <c r="Q9" s="135" t="s">
        <v>60</v>
      </c>
      <c r="R9" s="132" t="s">
        <v>67</v>
      </c>
      <c r="S9" s="132" t="s">
        <v>20</v>
      </c>
      <c r="T9" s="132">
        <v>121</v>
      </c>
      <c r="U9" s="132" t="e">
        <f>IF(S9="","",VLOOKUP(S9,#REF!,2,0))</f>
        <v>#REF!</v>
      </c>
      <c r="V9" s="133" t="s">
        <v>28</v>
      </c>
      <c r="W9" s="133">
        <v>12.100000000000001</v>
      </c>
      <c r="X9" s="133" t="e">
        <f>IF(V9="","",VLOOKUP(V9,#REF!,2,0))</f>
        <v>#REF!</v>
      </c>
      <c r="Y9" s="136">
        <v>32</v>
      </c>
      <c r="Z9" s="136">
        <f t="shared" si="0"/>
        <v>32</v>
      </c>
      <c r="AA9" s="134" t="s">
        <v>89</v>
      </c>
      <c r="AB9" s="8">
        <f t="shared" si="1"/>
        <v>32</v>
      </c>
    </row>
    <row r="10" spans="11:28" x14ac:dyDescent="0.25">
      <c r="K10" s="135">
        <v>5</v>
      </c>
      <c r="L10" s="135" t="s">
        <v>178</v>
      </c>
      <c r="M10" s="135" t="s">
        <v>54</v>
      </c>
      <c r="N10" s="135" t="s">
        <v>188</v>
      </c>
      <c r="O10" s="135" t="s">
        <v>196</v>
      </c>
      <c r="P10" s="135">
        <v>1</v>
      </c>
      <c r="Q10" s="135" t="s">
        <v>60</v>
      </c>
      <c r="R10" s="132" t="s">
        <v>68</v>
      </c>
      <c r="S10" s="132" t="s">
        <v>142</v>
      </c>
      <c r="T10" s="132">
        <v>132</v>
      </c>
      <c r="U10" s="132" t="e">
        <f>IF(S10="","",VLOOKUP(S10,#REF!,2,0))</f>
        <v>#REF!</v>
      </c>
      <c r="V10" s="133" t="s">
        <v>172</v>
      </c>
      <c r="W10" s="133">
        <v>13.200000000000001</v>
      </c>
      <c r="X10" s="133" t="e">
        <f>IF(V10="","",VLOOKUP(V10,#REF!,2,0))</f>
        <v>#REF!</v>
      </c>
      <c r="Y10" s="136">
        <v>41</v>
      </c>
      <c r="Z10" s="136">
        <f t="shared" si="0"/>
        <v>41</v>
      </c>
      <c r="AA10" s="134" t="s">
        <v>89</v>
      </c>
      <c r="AB10" s="8">
        <f t="shared" si="1"/>
        <v>41</v>
      </c>
    </row>
    <row r="11" spans="11:28" x14ac:dyDescent="0.25">
      <c r="K11" s="135">
        <v>6</v>
      </c>
      <c r="L11" s="135" t="s">
        <v>179</v>
      </c>
      <c r="M11" s="135" t="s">
        <v>55</v>
      </c>
      <c r="N11" s="135" t="s">
        <v>189</v>
      </c>
      <c r="O11" s="135" t="s">
        <v>198</v>
      </c>
      <c r="P11" s="135">
        <v>4</v>
      </c>
      <c r="Q11" s="135" t="s">
        <v>60</v>
      </c>
      <c r="R11" s="132" t="s">
        <v>69</v>
      </c>
      <c r="S11" s="132" t="s">
        <v>21</v>
      </c>
      <c r="T11" s="132">
        <v>111</v>
      </c>
      <c r="U11" s="132" t="e">
        <f>IF(S11="","",VLOOKUP(S11,#REF!,2,0))</f>
        <v>#REF!</v>
      </c>
      <c r="V11" s="133" t="s">
        <v>28</v>
      </c>
      <c r="W11" s="133">
        <v>11.100000000000001</v>
      </c>
      <c r="X11" s="133" t="e">
        <f>IF(V11="","",VLOOKUP(V11,#REF!,2,0))</f>
        <v>#REF!</v>
      </c>
      <c r="Y11" s="136">
        <v>121</v>
      </c>
      <c r="Z11" s="136">
        <f t="shared" si="0"/>
        <v>484</v>
      </c>
      <c r="AA11" s="134" t="s">
        <v>89</v>
      </c>
      <c r="AB11" s="8">
        <f t="shared" si="1"/>
        <v>484</v>
      </c>
    </row>
    <row r="12" spans="11:28" x14ac:dyDescent="0.25">
      <c r="K12" s="135">
        <v>7</v>
      </c>
      <c r="L12" s="135" t="s">
        <v>180</v>
      </c>
      <c r="M12" s="135" t="s">
        <v>56</v>
      </c>
      <c r="N12" s="135" t="s">
        <v>190</v>
      </c>
      <c r="O12" s="135" t="s">
        <v>199</v>
      </c>
      <c r="P12" s="135">
        <v>5</v>
      </c>
      <c r="Q12" s="135" t="s">
        <v>60</v>
      </c>
      <c r="R12" s="132" t="s">
        <v>70</v>
      </c>
      <c r="S12" s="132" t="s">
        <v>16</v>
      </c>
      <c r="T12" s="132">
        <v>121</v>
      </c>
      <c r="U12" s="132" t="e">
        <f>IF(S12="","",VLOOKUP(S12,#REF!,2,0))</f>
        <v>#REF!</v>
      </c>
      <c r="V12" s="133" t="s">
        <v>27</v>
      </c>
      <c r="W12" s="133">
        <v>12.100000000000001</v>
      </c>
      <c r="X12" s="133" t="e">
        <f>IF(V12="","",VLOOKUP(V12,#REF!,2,0))</f>
        <v>#REF!</v>
      </c>
      <c r="Y12" s="136">
        <v>18</v>
      </c>
      <c r="Z12" s="136">
        <f t="shared" si="0"/>
        <v>90</v>
      </c>
      <c r="AA12" s="134" t="s">
        <v>7</v>
      </c>
      <c r="AB12" s="8">
        <f t="shared" si="1"/>
        <v>90</v>
      </c>
    </row>
    <row r="13" spans="11:28" x14ac:dyDescent="0.25">
      <c r="K13" s="135">
        <v>8</v>
      </c>
      <c r="L13" s="135" t="s">
        <v>181</v>
      </c>
      <c r="M13" s="135" t="s">
        <v>57</v>
      </c>
      <c r="N13" s="135" t="s">
        <v>191</v>
      </c>
      <c r="O13" s="135" t="s">
        <v>201</v>
      </c>
      <c r="P13" s="135">
        <v>1</v>
      </c>
      <c r="Q13" s="135" t="s">
        <v>60</v>
      </c>
      <c r="R13" s="132" t="s">
        <v>71</v>
      </c>
      <c r="S13" s="132" t="s">
        <v>18</v>
      </c>
      <c r="T13" s="132">
        <v>143</v>
      </c>
      <c r="U13" s="132" t="e">
        <f>IF(S13="","",VLOOKUP(S13,#REF!,2,0))</f>
        <v>#REF!</v>
      </c>
      <c r="V13" s="133" t="s">
        <v>28</v>
      </c>
      <c r="W13" s="133">
        <v>14.3</v>
      </c>
      <c r="X13" s="133" t="e">
        <f>IF(V13="","",VLOOKUP(V13,#REF!,2,0))</f>
        <v>#REF!</v>
      </c>
      <c r="Y13" s="136">
        <v>50</v>
      </c>
      <c r="Z13" s="136">
        <f t="shared" si="0"/>
        <v>50</v>
      </c>
      <c r="AA13" s="134" t="s">
        <v>8</v>
      </c>
      <c r="AB13" s="8">
        <f t="shared" si="1"/>
        <v>50</v>
      </c>
    </row>
    <row r="14" spans="11:28" x14ac:dyDescent="0.25">
      <c r="K14" s="135">
        <v>9</v>
      </c>
      <c r="L14" s="135" t="s">
        <v>182</v>
      </c>
      <c r="M14" s="135" t="s">
        <v>58</v>
      </c>
      <c r="N14" s="135" t="s">
        <v>192</v>
      </c>
      <c r="O14" s="135" t="s">
        <v>200</v>
      </c>
      <c r="P14" s="135">
        <v>1</v>
      </c>
      <c r="Q14" s="135" t="s">
        <v>60</v>
      </c>
      <c r="R14" s="132" t="s">
        <v>72</v>
      </c>
      <c r="S14" s="132" t="s">
        <v>17</v>
      </c>
      <c r="T14" s="132">
        <v>154</v>
      </c>
      <c r="U14" s="132" t="e">
        <f>IF(S14="","",VLOOKUP(S14,#REF!,2,0))</f>
        <v>#REF!</v>
      </c>
      <c r="V14" s="133" t="s">
        <v>27</v>
      </c>
      <c r="W14" s="133">
        <v>15.4</v>
      </c>
      <c r="X14" s="133" t="e">
        <f>IF(V14="","",VLOOKUP(V14,#REF!,2,0))</f>
        <v>#REF!</v>
      </c>
      <c r="Y14" s="136">
        <v>10.76</v>
      </c>
      <c r="Z14" s="136">
        <f t="shared" si="0"/>
        <v>10.76</v>
      </c>
      <c r="AA14" s="134" t="s">
        <v>9</v>
      </c>
      <c r="AB14" s="8">
        <f t="shared" si="1"/>
        <v>10.76</v>
      </c>
    </row>
    <row r="15" spans="11:28" x14ac:dyDescent="0.25">
      <c r="K15" s="135">
        <v>10</v>
      </c>
      <c r="L15" s="135" t="s">
        <v>183</v>
      </c>
      <c r="M15" s="135" t="s">
        <v>59</v>
      </c>
      <c r="N15" s="135" t="s">
        <v>193</v>
      </c>
      <c r="O15" s="135" t="s">
        <v>197</v>
      </c>
      <c r="P15" s="135">
        <v>1</v>
      </c>
      <c r="Q15" s="135" t="s">
        <v>63</v>
      </c>
      <c r="R15" s="132" t="s">
        <v>73</v>
      </c>
      <c r="S15" s="132" t="s">
        <v>19</v>
      </c>
      <c r="T15" s="132">
        <v>100</v>
      </c>
      <c r="U15" s="132" t="e">
        <f>IF(S15="","",VLOOKUP(S15,#REF!,2,0))</f>
        <v>#REF!</v>
      </c>
      <c r="V15" s="133" t="s">
        <v>87</v>
      </c>
      <c r="W15" s="133">
        <v>10</v>
      </c>
      <c r="X15" s="133" t="e">
        <f>IF(V15="","",VLOOKUP(V15,#REF!,2,0))</f>
        <v>#REF!</v>
      </c>
      <c r="Y15" s="136">
        <v>10</v>
      </c>
      <c r="Z15" s="136">
        <f t="shared" si="0"/>
        <v>10</v>
      </c>
      <c r="AA15" s="134" t="s">
        <v>7</v>
      </c>
      <c r="AB15" s="8">
        <f t="shared" si="1"/>
        <v>10</v>
      </c>
    </row>
    <row r="16" spans="11:28" x14ac:dyDescent="0.25">
      <c r="Z16" s="46">
        <f>SUM(Z6:Z15)</f>
        <v>1022.76</v>
      </c>
    </row>
    <row r="18" spans="20:20" x14ac:dyDescent="0.25">
      <c r="T18" t="s">
        <v>128</v>
      </c>
    </row>
  </sheetData>
  <mergeCells count="5">
    <mergeCell ref="K1:Q1"/>
    <mergeCell ref="Y4:AA4"/>
    <mergeCell ref="R4:U4"/>
    <mergeCell ref="V4:X4"/>
    <mergeCell ref="L4:Q4"/>
  </mergeCells>
  <dataValidations count="3">
    <dataValidation type="list" allowBlank="1" showInputMessage="1" showErrorMessage="1" sqref="S6:S15">
      <formula1>#REF!</formula1>
    </dataValidation>
    <dataValidation type="list" allowBlank="1" showInputMessage="1" showErrorMessage="1" sqref="V6:V15">
      <formula1>#REF!</formula1>
    </dataValidation>
    <dataValidation type="list" allowBlank="1" showInputMessage="1" showErrorMessage="1" sqref="AA6:AA27">
      <formula1>#REF!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K2:P30"/>
  <sheetViews>
    <sheetView workbookViewId="0">
      <pane xSplit="16" ySplit="9" topLeftCell="Q10" activePane="bottomRight" state="frozen"/>
      <selection activeCell="J8" sqref="J8"/>
      <selection pane="topRight" activeCell="J8" sqref="J8"/>
      <selection pane="bottomLeft" activeCell="J8" sqref="J8"/>
      <selection pane="bottomRight" activeCell="R16" sqref="R16"/>
    </sheetView>
  </sheetViews>
  <sheetFormatPr defaultRowHeight="15" x14ac:dyDescent="0.25"/>
  <cols>
    <col min="1" max="9" width="0" hidden="1" customWidth="1"/>
    <col min="11" max="11" width="15.42578125" customWidth="1"/>
    <col min="12" max="12" width="8.85546875" customWidth="1"/>
    <col min="13" max="13" width="14.7109375" customWidth="1"/>
    <col min="14" max="14" width="11.85546875" customWidth="1"/>
    <col min="15" max="16" width="8.85546875" customWidth="1"/>
  </cols>
  <sheetData>
    <row r="2" spans="11:16" ht="15.75" thickBot="1" x14ac:dyDescent="0.3"/>
    <row r="3" spans="11:16" ht="28.5" x14ac:dyDescent="0.45">
      <c r="K3" s="160" t="s">
        <v>203</v>
      </c>
      <c r="L3" s="161"/>
      <c r="M3" s="161"/>
      <c r="N3" s="161"/>
      <c r="O3" s="161"/>
      <c r="P3" s="162"/>
    </row>
    <row r="4" spans="11:16" ht="27.6" customHeight="1" x14ac:dyDescent="0.25">
      <c r="K4" t="str">
        <f>BOM_001!N2</f>
        <v>Cust Assy No</v>
      </c>
      <c r="L4" t="str">
        <f>BOM_001!N3</f>
        <v>CusAssy_001</v>
      </c>
    </row>
    <row r="5" spans="11:16" s="1" customFormat="1" ht="30.75" thickBot="1" x14ac:dyDescent="0.3">
      <c r="K5" s="126" t="s">
        <v>204</v>
      </c>
      <c r="L5" s="127" t="s">
        <v>32</v>
      </c>
      <c r="M5" s="127" t="s">
        <v>104</v>
      </c>
      <c r="N5" s="127" t="s">
        <v>105</v>
      </c>
      <c r="O5" s="127"/>
      <c r="P5" s="128"/>
    </row>
    <row r="6" spans="11:16" x14ac:dyDescent="0.25">
      <c r="K6" s="2" t="s">
        <v>7</v>
      </c>
      <c r="L6" s="2" t="s">
        <v>60</v>
      </c>
      <c r="M6" s="2">
        <f ca="1">SUMIF(BOM_001!$AA$6:$AB$15,K6,BOM_001!$AB$6:$AB$15)</f>
        <v>100</v>
      </c>
      <c r="N6" s="2"/>
      <c r="O6" s="2"/>
      <c r="P6" s="2"/>
    </row>
    <row r="7" spans="11:16" x14ac:dyDescent="0.25">
      <c r="K7" s="2" t="s">
        <v>8</v>
      </c>
      <c r="L7" s="2" t="s">
        <v>60</v>
      </c>
      <c r="M7" s="2">
        <f ca="1">SUMIF(BOM_001!$AA$6:$AB$15,K7,BOM_001!$AB$6:$AB$15)</f>
        <v>50</v>
      </c>
      <c r="N7" s="2"/>
      <c r="O7" s="2"/>
      <c r="P7" s="2"/>
    </row>
    <row r="8" spans="11:16" x14ac:dyDescent="0.25">
      <c r="K8" s="2" t="s">
        <v>9</v>
      </c>
      <c r="L8" s="2" t="s">
        <v>60</v>
      </c>
      <c r="M8" s="2">
        <f ca="1">SUMIF(BOM_001!$AA$6:$AB$15,K8,BOM_001!$AB$6:$AB$15)</f>
        <v>10.76</v>
      </c>
      <c r="N8" s="2"/>
      <c r="O8" s="2"/>
      <c r="P8" s="2"/>
    </row>
    <row r="9" spans="11:16" x14ac:dyDescent="0.25">
      <c r="K9" s="2" t="s">
        <v>10</v>
      </c>
      <c r="L9" s="2" t="s">
        <v>60</v>
      </c>
      <c r="M9" s="2">
        <f ca="1">SUMIF(BOM_001!$AA$6:$AB$15,K9,BOM_001!$AB$6:$AB$15)</f>
        <v>0</v>
      </c>
      <c r="N9" s="2"/>
      <c r="O9" s="2"/>
      <c r="P9" s="2"/>
    </row>
    <row r="10" spans="11:16" x14ac:dyDescent="0.25">
      <c r="K10" s="2" t="s">
        <v>11</v>
      </c>
      <c r="L10" s="2" t="s">
        <v>60</v>
      </c>
      <c r="M10" s="2">
        <f ca="1">SUMIF(BOM_001!$AA$6:$AB$15,K10,BOM_001!$AB$6:$AB$15)</f>
        <v>0</v>
      </c>
      <c r="N10" s="2"/>
      <c r="O10" s="2"/>
      <c r="P10" s="2"/>
    </row>
    <row r="11" spans="11:16" x14ac:dyDescent="0.25">
      <c r="K11" s="2" t="s">
        <v>12</v>
      </c>
      <c r="L11" s="2" t="s">
        <v>60</v>
      </c>
      <c r="M11" s="2">
        <f ca="1">SUMIF(BOM_001!$AA$6:$AB$15,K11,BOM_001!$AB$6:$AB$15)</f>
        <v>0</v>
      </c>
      <c r="N11" s="2"/>
      <c r="O11" s="2"/>
      <c r="P11" s="2"/>
    </row>
    <row r="12" spans="11:16" x14ac:dyDescent="0.25">
      <c r="K12" s="2" t="s">
        <v>13</v>
      </c>
      <c r="L12" s="2" t="s">
        <v>60</v>
      </c>
      <c r="M12" s="2">
        <f ca="1">SUMIF(BOM_001!$AA$6:$AB$15,K12,BOM_001!$AB$6:$AB$15)</f>
        <v>0</v>
      </c>
      <c r="N12" s="2"/>
      <c r="O12" s="2"/>
      <c r="P12" s="2"/>
    </row>
    <row r="13" spans="11:16" x14ac:dyDescent="0.25">
      <c r="K13" s="2" t="s">
        <v>14</v>
      </c>
      <c r="L13" s="2" t="s">
        <v>60</v>
      </c>
      <c r="M13" s="2">
        <f ca="1">SUMIF(BOM_001!$AA$6:$AB$15,K13,BOM_001!$AB$6:$AB$15)</f>
        <v>0</v>
      </c>
      <c r="N13" s="2"/>
      <c r="O13" s="2"/>
      <c r="P13" s="2"/>
    </row>
    <row r="14" spans="11:16" x14ac:dyDescent="0.25">
      <c r="K14" s="2" t="s">
        <v>15</v>
      </c>
      <c r="L14" s="2" t="s">
        <v>60</v>
      </c>
      <c r="M14" s="2">
        <f ca="1">SUMIF(BOM_001!$AA$6:$AB$15,K14,BOM_001!$AB$6:$AB$15)</f>
        <v>0</v>
      </c>
      <c r="N14" s="2"/>
      <c r="O14" s="2"/>
      <c r="P14" s="2"/>
    </row>
    <row r="15" spans="11:16" x14ac:dyDescent="0.25">
      <c r="K15" s="2" t="s">
        <v>89</v>
      </c>
      <c r="L15" s="2" t="s">
        <v>60</v>
      </c>
      <c r="M15" s="2">
        <f ca="1">SUMIF(BOM_001!$AA$6:$AB$15,K15,BOM_001!$AB$6:$AB$15)</f>
        <v>862</v>
      </c>
      <c r="N15" s="2"/>
      <c r="O15" s="2"/>
      <c r="P15" s="2"/>
    </row>
    <row r="16" spans="11:16" x14ac:dyDescent="0.25">
      <c r="K16" s="3" t="s">
        <v>140</v>
      </c>
      <c r="L16" s="3" t="s">
        <v>62</v>
      </c>
      <c r="M16" s="3">
        <f ca="1">SUMIF(BOM_001!$S$6:$T$15,K16,BOM_001!$T$6:$T$15)</f>
        <v>0.92999999999999994</v>
      </c>
      <c r="N16" s="3"/>
      <c r="O16" s="3"/>
      <c r="P16" s="3"/>
    </row>
    <row r="17" spans="11:16" x14ac:dyDescent="0.25">
      <c r="K17" s="3" t="s">
        <v>141</v>
      </c>
      <c r="L17" s="3" t="s">
        <v>62</v>
      </c>
      <c r="M17" s="3">
        <f ca="1">SUMIF(BOM_001!$S$6:$T$15,K17,BOM_001!$T$6:$T$15)</f>
        <v>0.23</v>
      </c>
      <c r="N17" s="3"/>
      <c r="O17" s="3"/>
      <c r="P17" s="3"/>
    </row>
    <row r="18" spans="11:16" x14ac:dyDescent="0.25">
      <c r="K18" s="3" t="s">
        <v>142</v>
      </c>
      <c r="L18" s="3" t="s">
        <v>61</v>
      </c>
      <c r="M18" s="3">
        <f ca="1">SUMIF(BOM_001!$S$6:$T$15,K18,BOM_001!$T$6:$T$15)</f>
        <v>132</v>
      </c>
      <c r="N18" s="3"/>
      <c r="O18" s="3"/>
      <c r="P18" s="3"/>
    </row>
    <row r="19" spans="11:16" x14ac:dyDescent="0.25">
      <c r="K19" s="3" t="s">
        <v>16</v>
      </c>
      <c r="L19" s="3" t="s">
        <v>61</v>
      </c>
      <c r="M19" s="3">
        <f ca="1">SUMIF(BOM_001!$S$6:$T$15,K19,BOM_001!$T$6:$T$15)</f>
        <v>121</v>
      </c>
      <c r="N19" s="3"/>
      <c r="O19" s="3"/>
      <c r="P19" s="3"/>
    </row>
    <row r="20" spans="11:16" x14ac:dyDescent="0.25">
      <c r="K20" s="3" t="s">
        <v>17</v>
      </c>
      <c r="L20" s="3" t="s">
        <v>61</v>
      </c>
      <c r="M20" s="3">
        <f ca="1">SUMIF(BOM_001!$S$6:$T$15,K20,BOM_001!$T$6:$T$15)</f>
        <v>154</v>
      </c>
      <c r="N20" s="3"/>
      <c r="O20" s="3"/>
      <c r="P20" s="3"/>
    </row>
    <row r="21" spans="11:16" x14ac:dyDescent="0.25">
      <c r="K21" s="3" t="s">
        <v>18</v>
      </c>
      <c r="L21" s="3" t="s">
        <v>61</v>
      </c>
      <c r="M21" s="3">
        <f ca="1">SUMIF(BOM_001!$S$6:$T$15,K21,BOM_001!$T$6:$T$15)</f>
        <v>143</v>
      </c>
      <c r="N21" s="3"/>
      <c r="O21" s="3"/>
      <c r="P21" s="3"/>
    </row>
    <row r="22" spans="11:16" x14ac:dyDescent="0.25">
      <c r="K22" s="3" t="s">
        <v>19</v>
      </c>
      <c r="L22" s="3" t="s">
        <v>63</v>
      </c>
      <c r="M22" s="3">
        <f ca="1">SUMIF(BOM_001!$S$6:$T$15,K22,BOM_001!$T$6:$T$15)</f>
        <v>100</v>
      </c>
      <c r="N22" s="3"/>
      <c r="O22" s="3"/>
      <c r="P22" s="3"/>
    </row>
    <row r="23" spans="11:16" x14ac:dyDescent="0.25">
      <c r="K23" s="3" t="s">
        <v>20</v>
      </c>
      <c r="L23" s="3" t="s">
        <v>61</v>
      </c>
      <c r="M23" s="3">
        <f ca="1">SUMIF(BOM_001!$S$6:$T$15,K23,BOM_001!$T$6:$T$15)</f>
        <v>121</v>
      </c>
      <c r="N23" s="3"/>
      <c r="O23" s="3"/>
      <c r="P23" s="3"/>
    </row>
    <row r="24" spans="11:16" x14ac:dyDescent="0.25">
      <c r="K24" s="3" t="s">
        <v>21</v>
      </c>
      <c r="L24" s="3" t="s">
        <v>61</v>
      </c>
      <c r="M24" s="3">
        <f ca="1">SUMIF(BOM_001!$S$6:$T$15,K24,BOM_001!$T$6:$T$15)</f>
        <v>111</v>
      </c>
      <c r="N24" s="3"/>
      <c r="O24" s="3"/>
      <c r="P24" s="3"/>
    </row>
    <row r="25" spans="11:16" x14ac:dyDescent="0.25">
      <c r="K25" s="3" t="s">
        <v>22</v>
      </c>
      <c r="L25" s="3" t="s">
        <v>61</v>
      </c>
      <c r="M25" s="3">
        <f ca="1">SUMIF(BOM_001!$S$6:$T$15,K25,BOM_001!$T$6:$T$15)</f>
        <v>0</v>
      </c>
      <c r="N25" s="3"/>
      <c r="O25" s="3"/>
      <c r="P25" s="3"/>
    </row>
    <row r="26" spans="11:16" x14ac:dyDescent="0.25">
      <c r="K26" s="4" t="s">
        <v>171</v>
      </c>
      <c r="L26" s="4" t="s">
        <v>62</v>
      </c>
      <c r="M26" s="4">
        <f ca="1">SUMIF(BOM_001!$V$6:$W$15,K26,BOM_001!$W$6:$W$15)</f>
        <v>9.2999999999999999E-2</v>
      </c>
      <c r="N26" s="4"/>
      <c r="O26" s="4"/>
      <c r="P26" s="4"/>
    </row>
    <row r="27" spans="11:16" ht="30" x14ac:dyDescent="0.25">
      <c r="K27" s="4" t="s">
        <v>172</v>
      </c>
      <c r="L27" s="4" t="s">
        <v>62</v>
      </c>
      <c r="M27" s="4">
        <f ca="1">SUMIF(BOM_001!$V$6:$W$15,K27,BOM_001!$W$6:$W$15)</f>
        <v>13.200000000000001</v>
      </c>
      <c r="N27" s="4"/>
      <c r="O27" s="4"/>
      <c r="P27" s="4"/>
    </row>
    <row r="28" spans="11:16" x14ac:dyDescent="0.25">
      <c r="K28" s="4" t="s">
        <v>27</v>
      </c>
      <c r="L28" s="4" t="s">
        <v>61</v>
      </c>
      <c r="M28" s="4">
        <f ca="1">SUMIF(BOM_001!$V$6:$W$15,K28,BOM_001!$W$6:$W$15)</f>
        <v>27.523000000000003</v>
      </c>
      <c r="N28" s="4"/>
      <c r="O28" s="4"/>
      <c r="P28" s="4"/>
    </row>
    <row r="29" spans="11:16" x14ac:dyDescent="0.25">
      <c r="K29" s="4" t="s">
        <v>28</v>
      </c>
      <c r="L29" s="4" t="s">
        <v>61</v>
      </c>
      <c r="M29" s="4">
        <f ca="1">SUMIF(BOM_001!$V$6:$W$15,K29,BOM_001!$W$6:$W$15)</f>
        <v>37.5</v>
      </c>
      <c r="N29" s="4"/>
      <c r="O29" s="4"/>
      <c r="P29" s="4"/>
    </row>
    <row r="30" spans="11:16" x14ac:dyDescent="0.25">
      <c r="K30" s="4" t="s">
        <v>110</v>
      </c>
      <c r="L30" s="4" t="s">
        <v>63</v>
      </c>
      <c r="M30" s="4">
        <f ca="1">SUMIF(BOM_001!$V$6:$W$15,K30,BOM_001!$W$6:$W$15)</f>
        <v>10</v>
      </c>
      <c r="N30" s="4"/>
      <c r="O30" s="4"/>
      <c r="P30" s="4"/>
    </row>
  </sheetData>
  <mergeCells count="1">
    <mergeCell ref="K3:P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A2:GO67"/>
  <sheetViews>
    <sheetView workbookViewId="0">
      <pane xSplit="4" ySplit="5" topLeftCell="EK6" activePane="bottomRight" state="frozen"/>
      <selection pane="topRight" activeCell="E1" sqref="E1"/>
      <selection pane="bottomLeft" activeCell="A5" sqref="A5"/>
      <selection pane="bottomRight" activeCell="EM17" sqref="EM17"/>
    </sheetView>
  </sheetViews>
  <sheetFormatPr defaultRowHeight="15" x14ac:dyDescent="0.25"/>
  <cols>
    <col min="1" max="1" width="14.5703125" hidden="1" customWidth="1"/>
    <col min="3" max="3" width="15.5703125" customWidth="1"/>
    <col min="4" max="4" width="12.28515625" customWidth="1"/>
    <col min="6" max="6" width="20.28515625" customWidth="1"/>
    <col min="7" max="7" width="10.7109375" customWidth="1"/>
    <col min="8" max="8" width="9.5703125" bestFit="1" customWidth="1"/>
    <col min="10" max="10" width="19.28515625" customWidth="1"/>
    <col min="11" max="14" width="12.42578125" customWidth="1"/>
    <col min="15" max="15" width="10.7109375" customWidth="1"/>
    <col min="16" max="16" width="11.5703125" customWidth="1"/>
    <col min="17" max="17" width="8.140625" customWidth="1"/>
    <col min="18" max="147" width="8.85546875" customWidth="1"/>
    <col min="148" max="148" width="17.7109375" customWidth="1"/>
    <col min="149" max="149" width="8.85546875" customWidth="1"/>
  </cols>
  <sheetData>
    <row r="2" spans="1:197" x14ac:dyDescent="0.25">
      <c r="R2">
        <v>5</v>
      </c>
      <c r="S2">
        <v>6</v>
      </c>
      <c r="T2">
        <v>7</v>
      </c>
      <c r="U2">
        <v>8</v>
      </c>
      <c r="V2">
        <v>9</v>
      </c>
      <c r="W2">
        <v>10</v>
      </c>
      <c r="X2">
        <v>11</v>
      </c>
      <c r="Y2">
        <v>12</v>
      </c>
      <c r="Z2">
        <v>13</v>
      </c>
      <c r="AA2">
        <v>14</v>
      </c>
      <c r="AB2">
        <v>15</v>
      </c>
      <c r="AC2">
        <v>16</v>
      </c>
      <c r="AD2">
        <v>17</v>
      </c>
      <c r="AE2">
        <v>18</v>
      </c>
      <c r="AF2">
        <v>19</v>
      </c>
      <c r="AG2">
        <v>20</v>
      </c>
      <c r="AH2">
        <v>21</v>
      </c>
      <c r="AI2">
        <v>22</v>
      </c>
      <c r="AJ2">
        <v>23</v>
      </c>
      <c r="AK2">
        <v>24</v>
      </c>
      <c r="AL2">
        <v>25</v>
      </c>
      <c r="AM2">
        <v>26</v>
      </c>
      <c r="AN2">
        <v>27</v>
      </c>
      <c r="AO2">
        <v>28</v>
      </c>
      <c r="AP2">
        <v>29</v>
      </c>
      <c r="AQ2">
        <v>5</v>
      </c>
      <c r="AR2">
        <v>6</v>
      </c>
      <c r="AS2">
        <v>7</v>
      </c>
      <c r="AT2">
        <v>8</v>
      </c>
      <c r="AU2">
        <v>9</v>
      </c>
      <c r="AV2">
        <v>10</v>
      </c>
      <c r="AW2">
        <v>11</v>
      </c>
      <c r="AX2">
        <v>12</v>
      </c>
      <c r="AY2">
        <v>13</v>
      </c>
      <c r="AZ2">
        <v>14</v>
      </c>
      <c r="BA2">
        <v>15</v>
      </c>
      <c r="BB2">
        <v>16</v>
      </c>
      <c r="BC2">
        <v>17</v>
      </c>
      <c r="BD2">
        <v>18</v>
      </c>
      <c r="BE2">
        <v>19</v>
      </c>
      <c r="BF2">
        <v>20</v>
      </c>
      <c r="BG2">
        <v>21</v>
      </c>
      <c r="BH2">
        <v>22</v>
      </c>
      <c r="BI2">
        <v>23</v>
      </c>
      <c r="BJ2">
        <v>24</v>
      </c>
      <c r="BK2">
        <v>25</v>
      </c>
      <c r="BL2">
        <v>26</v>
      </c>
      <c r="BM2">
        <v>27</v>
      </c>
      <c r="BN2">
        <v>28</v>
      </c>
      <c r="BO2">
        <v>29</v>
      </c>
    </row>
    <row r="3" spans="1:197" ht="15.75" thickBot="1" x14ac:dyDescent="0.3"/>
    <row r="4" spans="1:197" x14ac:dyDescent="0.25">
      <c r="R4" s="163" t="s">
        <v>23</v>
      </c>
      <c r="S4" s="164"/>
      <c r="T4" s="164"/>
      <c r="U4" s="164"/>
      <c r="V4" s="164"/>
      <c r="W4" s="164"/>
      <c r="X4" s="164"/>
      <c r="Y4" s="164"/>
      <c r="Z4" s="164"/>
      <c r="AA4" s="165"/>
      <c r="AB4" s="163" t="s">
        <v>24</v>
      </c>
      <c r="AC4" s="164"/>
      <c r="AD4" s="164"/>
      <c r="AE4" s="164"/>
      <c r="AF4" s="164"/>
      <c r="AG4" s="164"/>
      <c r="AH4" s="164"/>
      <c r="AI4" s="164"/>
      <c r="AJ4" s="164"/>
      <c r="AK4" s="165"/>
      <c r="AL4" s="163" t="s">
        <v>38</v>
      </c>
      <c r="AM4" s="164"/>
      <c r="AN4" s="164"/>
      <c r="AO4" s="164"/>
      <c r="AP4" s="165"/>
      <c r="AQ4" s="193" t="s">
        <v>95</v>
      </c>
      <c r="AR4" s="194"/>
      <c r="AS4" s="194"/>
      <c r="AT4" s="194"/>
      <c r="AU4" s="194"/>
      <c r="AV4" s="194"/>
      <c r="AW4" s="194"/>
      <c r="AX4" s="194"/>
      <c r="AY4" s="194"/>
      <c r="AZ4" s="195"/>
      <c r="BA4" s="193" t="s">
        <v>96</v>
      </c>
      <c r="BB4" s="194"/>
      <c r="BC4" s="194"/>
      <c r="BD4" s="194"/>
      <c r="BE4" s="194"/>
      <c r="BF4" s="194"/>
      <c r="BG4" s="194"/>
      <c r="BH4" s="194"/>
      <c r="BI4" s="194"/>
      <c r="BJ4" s="195"/>
      <c r="BK4" s="193" t="s">
        <v>97</v>
      </c>
      <c r="BL4" s="194"/>
      <c r="BM4" s="194"/>
      <c r="BN4" s="194"/>
      <c r="BO4" s="195"/>
      <c r="BP4" s="187" t="s">
        <v>94</v>
      </c>
      <c r="BQ4" s="188"/>
      <c r="BR4" s="188"/>
      <c r="BS4" s="188"/>
      <c r="BT4" s="188"/>
      <c r="BU4" s="188"/>
      <c r="BV4" s="188"/>
      <c r="BW4" s="188"/>
      <c r="BX4" s="188"/>
      <c r="BY4" s="189"/>
      <c r="BZ4" s="190" t="s">
        <v>93</v>
      </c>
      <c r="CA4" s="191"/>
      <c r="CB4" s="191"/>
      <c r="CC4" s="191"/>
      <c r="CD4" s="191"/>
      <c r="CE4" s="191"/>
      <c r="CF4" s="191"/>
      <c r="CG4" s="191"/>
      <c r="CH4" s="191"/>
      <c r="CI4" s="192"/>
      <c r="CJ4" s="166" t="s">
        <v>92</v>
      </c>
      <c r="CK4" s="167"/>
      <c r="CL4" s="167"/>
      <c r="CM4" s="167"/>
      <c r="CN4" s="168"/>
      <c r="CO4" s="170" t="s">
        <v>107</v>
      </c>
      <c r="CP4" s="171"/>
      <c r="CQ4" s="171"/>
      <c r="CR4" s="171"/>
      <c r="CS4" s="171"/>
      <c r="CT4" s="171"/>
      <c r="CU4" s="171"/>
      <c r="CV4" s="171"/>
      <c r="CW4" s="171"/>
      <c r="CX4" s="172"/>
      <c r="CY4" s="173" t="s">
        <v>108</v>
      </c>
      <c r="CZ4" s="174"/>
      <c r="DA4" s="174"/>
      <c r="DB4" s="174"/>
      <c r="DC4" s="174"/>
      <c r="DD4" s="174"/>
      <c r="DE4" s="174"/>
      <c r="DF4" s="174"/>
      <c r="DG4" s="174"/>
      <c r="DH4" s="175"/>
      <c r="DI4" s="176" t="s">
        <v>109</v>
      </c>
      <c r="DJ4" s="177"/>
      <c r="DK4" s="177"/>
      <c r="DL4" s="177"/>
      <c r="DM4" s="178"/>
      <c r="DN4" s="179" t="s">
        <v>112</v>
      </c>
      <c r="DO4" s="180"/>
      <c r="DP4" s="180"/>
      <c r="DQ4" s="180"/>
      <c r="DR4" s="180"/>
      <c r="DS4" s="180"/>
      <c r="DT4" s="180"/>
      <c r="DU4" s="180"/>
      <c r="DV4" s="180"/>
      <c r="DW4" s="181"/>
      <c r="DX4" s="182" t="s">
        <v>113</v>
      </c>
      <c r="DY4" s="182"/>
      <c r="DZ4" s="182"/>
      <c r="EA4" s="182"/>
      <c r="EB4" s="182"/>
      <c r="EC4" s="182"/>
      <c r="ED4" s="182"/>
      <c r="EE4" s="182"/>
      <c r="EF4" s="182"/>
      <c r="EG4" s="183"/>
      <c r="EH4" s="184" t="s">
        <v>92</v>
      </c>
      <c r="EI4" s="185"/>
      <c r="EJ4" s="185"/>
      <c r="EK4" s="185"/>
      <c r="EL4" s="186"/>
      <c r="EM4" s="169" t="s">
        <v>114</v>
      </c>
      <c r="EN4" s="169"/>
      <c r="EO4" s="169"/>
      <c r="EP4" s="169"/>
    </row>
    <row r="5" spans="1:197" s="1" customFormat="1" ht="40.9" customHeight="1" x14ac:dyDescent="0.25">
      <c r="B5" s="1" t="s">
        <v>0</v>
      </c>
      <c r="C5" s="1" t="s">
        <v>1</v>
      </c>
      <c r="D5" s="1" t="s">
        <v>2</v>
      </c>
      <c r="E5" s="1" t="s">
        <v>217</v>
      </c>
      <c r="F5" s="1" t="s">
        <v>4</v>
      </c>
      <c r="G5" s="1" t="s">
        <v>5</v>
      </c>
      <c r="H5" s="1" t="s">
        <v>6</v>
      </c>
      <c r="I5" s="1" t="s">
        <v>29</v>
      </c>
      <c r="J5" s="18" t="s">
        <v>170</v>
      </c>
      <c r="K5" s="18" t="s">
        <v>91</v>
      </c>
      <c r="L5" s="18" t="s">
        <v>101</v>
      </c>
      <c r="M5" s="18" t="s">
        <v>102</v>
      </c>
      <c r="N5" s="1" t="s">
        <v>168</v>
      </c>
      <c r="O5" s="1" t="s">
        <v>116</v>
      </c>
      <c r="P5" s="1" t="s">
        <v>169</v>
      </c>
      <c r="R5" s="51" t="s">
        <v>7</v>
      </c>
      <c r="S5" s="52" t="s">
        <v>8</v>
      </c>
      <c r="T5" s="52" t="s">
        <v>9</v>
      </c>
      <c r="U5" s="52" t="s">
        <v>10</v>
      </c>
      <c r="V5" s="52" t="s">
        <v>11</v>
      </c>
      <c r="W5" s="52" t="s">
        <v>12</v>
      </c>
      <c r="X5" s="52" t="s">
        <v>13</v>
      </c>
      <c r="Y5" s="52" t="s">
        <v>14</v>
      </c>
      <c r="Z5" s="52" t="s">
        <v>15</v>
      </c>
      <c r="AA5" s="53" t="s">
        <v>89</v>
      </c>
      <c r="AB5" s="51" t="s">
        <v>140</v>
      </c>
      <c r="AC5" s="52" t="s">
        <v>141</v>
      </c>
      <c r="AD5" s="52" t="s">
        <v>142</v>
      </c>
      <c r="AE5" s="52" t="s">
        <v>16</v>
      </c>
      <c r="AF5" s="52" t="s">
        <v>17</v>
      </c>
      <c r="AG5" s="52" t="s">
        <v>18</v>
      </c>
      <c r="AH5" s="52" t="s">
        <v>19</v>
      </c>
      <c r="AI5" s="52" t="s">
        <v>20</v>
      </c>
      <c r="AJ5" s="52" t="s">
        <v>21</v>
      </c>
      <c r="AK5" s="53" t="s">
        <v>22</v>
      </c>
      <c r="AL5" s="51" t="s">
        <v>171</v>
      </c>
      <c r="AM5" s="52" t="s">
        <v>172</v>
      </c>
      <c r="AN5" s="52" t="s">
        <v>27</v>
      </c>
      <c r="AO5" s="52" t="s">
        <v>28</v>
      </c>
      <c r="AP5" s="53" t="s">
        <v>110</v>
      </c>
      <c r="AQ5" s="62" t="s">
        <v>7</v>
      </c>
      <c r="AR5" s="63" t="s">
        <v>8</v>
      </c>
      <c r="AS5" s="63" t="s">
        <v>9</v>
      </c>
      <c r="AT5" s="63" t="s">
        <v>10</v>
      </c>
      <c r="AU5" s="63" t="s">
        <v>11</v>
      </c>
      <c r="AV5" s="63" t="s">
        <v>12</v>
      </c>
      <c r="AW5" s="63" t="s">
        <v>13</v>
      </c>
      <c r="AX5" s="63" t="s">
        <v>14</v>
      </c>
      <c r="AY5" s="63" t="s">
        <v>15</v>
      </c>
      <c r="AZ5" s="64" t="s">
        <v>89</v>
      </c>
      <c r="BA5" s="62" t="s">
        <v>140</v>
      </c>
      <c r="BB5" s="63" t="s">
        <v>141</v>
      </c>
      <c r="BC5" s="63" t="s">
        <v>142</v>
      </c>
      <c r="BD5" s="63" t="s">
        <v>16</v>
      </c>
      <c r="BE5" s="63" t="s">
        <v>17</v>
      </c>
      <c r="BF5" s="63" t="s">
        <v>18</v>
      </c>
      <c r="BG5" s="63" t="s">
        <v>19</v>
      </c>
      <c r="BH5" s="63" t="s">
        <v>20</v>
      </c>
      <c r="BI5" s="63" t="s">
        <v>21</v>
      </c>
      <c r="BJ5" s="64" t="s">
        <v>22</v>
      </c>
      <c r="BK5" s="62" t="s">
        <v>171</v>
      </c>
      <c r="BL5" s="63" t="s">
        <v>172</v>
      </c>
      <c r="BM5" s="63" t="s">
        <v>27</v>
      </c>
      <c r="BN5" s="63" t="s">
        <v>28</v>
      </c>
      <c r="BO5" s="64" t="s">
        <v>110</v>
      </c>
      <c r="BP5" s="71" t="s">
        <v>7</v>
      </c>
      <c r="BQ5" s="72" t="s">
        <v>8</v>
      </c>
      <c r="BR5" s="72" t="s">
        <v>9</v>
      </c>
      <c r="BS5" s="72" t="s">
        <v>10</v>
      </c>
      <c r="BT5" s="72" t="s">
        <v>11</v>
      </c>
      <c r="BU5" s="72" t="s">
        <v>12</v>
      </c>
      <c r="BV5" s="72" t="s">
        <v>13</v>
      </c>
      <c r="BW5" s="72" t="s">
        <v>14</v>
      </c>
      <c r="BX5" s="72" t="s">
        <v>15</v>
      </c>
      <c r="BY5" s="73" t="s">
        <v>89</v>
      </c>
      <c r="BZ5" s="80" t="s">
        <v>140</v>
      </c>
      <c r="CA5" s="81" t="s">
        <v>141</v>
      </c>
      <c r="CB5" s="81" t="s">
        <v>142</v>
      </c>
      <c r="CC5" s="81" t="s">
        <v>16</v>
      </c>
      <c r="CD5" s="81" t="s">
        <v>17</v>
      </c>
      <c r="CE5" s="81" t="s">
        <v>18</v>
      </c>
      <c r="CF5" s="81" t="s">
        <v>19</v>
      </c>
      <c r="CG5" s="81" t="s">
        <v>20</v>
      </c>
      <c r="CH5" s="81" t="s">
        <v>21</v>
      </c>
      <c r="CI5" s="82" t="s">
        <v>22</v>
      </c>
      <c r="CJ5" s="89" t="s">
        <v>171</v>
      </c>
      <c r="CK5" s="90" t="s">
        <v>172</v>
      </c>
      <c r="CL5" s="90" t="s">
        <v>27</v>
      </c>
      <c r="CM5" s="90" t="s">
        <v>28</v>
      </c>
      <c r="CN5" s="91" t="s">
        <v>110</v>
      </c>
      <c r="CO5" s="98" t="s">
        <v>7</v>
      </c>
      <c r="CP5" s="99" t="s">
        <v>8</v>
      </c>
      <c r="CQ5" s="99" t="s">
        <v>9</v>
      </c>
      <c r="CR5" s="99" t="s">
        <v>10</v>
      </c>
      <c r="CS5" s="99" t="s">
        <v>11</v>
      </c>
      <c r="CT5" s="99" t="s">
        <v>12</v>
      </c>
      <c r="CU5" s="99" t="s">
        <v>13</v>
      </c>
      <c r="CV5" s="99" t="s">
        <v>14</v>
      </c>
      <c r="CW5" s="99" t="s">
        <v>15</v>
      </c>
      <c r="CX5" s="100" t="s">
        <v>89</v>
      </c>
      <c r="CY5" s="107" t="s">
        <v>140</v>
      </c>
      <c r="CZ5" s="108" t="s">
        <v>141</v>
      </c>
      <c r="DA5" s="108" t="s">
        <v>142</v>
      </c>
      <c r="DB5" s="108" t="s">
        <v>16</v>
      </c>
      <c r="DC5" s="108" t="s">
        <v>17</v>
      </c>
      <c r="DD5" s="108" t="s">
        <v>18</v>
      </c>
      <c r="DE5" s="108" t="s">
        <v>19</v>
      </c>
      <c r="DF5" s="108" t="s">
        <v>20</v>
      </c>
      <c r="DG5" s="108" t="s">
        <v>21</v>
      </c>
      <c r="DH5" s="109" t="s">
        <v>22</v>
      </c>
      <c r="DI5" s="116" t="s">
        <v>171</v>
      </c>
      <c r="DJ5" s="117" t="s">
        <v>172</v>
      </c>
      <c r="DK5" s="117" t="s">
        <v>27</v>
      </c>
      <c r="DL5" s="117" t="s">
        <v>28</v>
      </c>
      <c r="DM5" s="118" t="s">
        <v>110</v>
      </c>
      <c r="DN5" s="22" t="s">
        <v>7</v>
      </c>
      <c r="DO5" s="23" t="s">
        <v>8</v>
      </c>
      <c r="DP5" s="23" t="s">
        <v>9</v>
      </c>
      <c r="DQ5" s="23" t="s">
        <v>10</v>
      </c>
      <c r="DR5" s="23" t="s">
        <v>11</v>
      </c>
      <c r="DS5" s="23" t="s">
        <v>12</v>
      </c>
      <c r="DT5" s="23" t="s">
        <v>13</v>
      </c>
      <c r="DU5" s="23" t="s">
        <v>14</v>
      </c>
      <c r="DV5" s="23" t="s">
        <v>15</v>
      </c>
      <c r="DW5" s="24" t="s">
        <v>89</v>
      </c>
      <c r="DX5" s="31" t="s">
        <v>140</v>
      </c>
      <c r="DY5" s="31" t="s">
        <v>141</v>
      </c>
      <c r="DZ5" s="31" t="s">
        <v>142</v>
      </c>
      <c r="EA5" s="31" t="s">
        <v>16</v>
      </c>
      <c r="EB5" s="31" t="s">
        <v>17</v>
      </c>
      <c r="EC5" s="31" t="s">
        <v>18</v>
      </c>
      <c r="ED5" s="31" t="s">
        <v>19</v>
      </c>
      <c r="EE5" s="31" t="s">
        <v>20</v>
      </c>
      <c r="EF5" s="31" t="s">
        <v>21</v>
      </c>
      <c r="EG5" s="32" t="s">
        <v>22</v>
      </c>
      <c r="EH5" s="37" t="s">
        <v>171</v>
      </c>
      <c r="EI5" s="38" t="s">
        <v>172</v>
      </c>
      <c r="EJ5" s="38" t="s">
        <v>27</v>
      </c>
      <c r="EK5" s="38" t="s">
        <v>28</v>
      </c>
      <c r="EL5" s="39" t="s">
        <v>110</v>
      </c>
      <c r="EM5" s="15" t="s">
        <v>35</v>
      </c>
      <c r="EN5" s="15" t="s">
        <v>34</v>
      </c>
      <c r="EO5" s="15" t="s">
        <v>100</v>
      </c>
      <c r="EP5" s="15" t="s">
        <v>116</v>
      </c>
      <c r="EQ5" s="15" t="s">
        <v>115</v>
      </c>
      <c r="ER5" s="15" t="s">
        <v>103</v>
      </c>
      <c r="ES5"/>
      <c r="ET5" s="12">
        <v>40909</v>
      </c>
      <c r="EU5" s="12">
        <v>40940</v>
      </c>
      <c r="EV5" s="12">
        <v>40969</v>
      </c>
      <c r="EW5" s="12">
        <v>41000</v>
      </c>
      <c r="EX5" s="12">
        <v>41030</v>
      </c>
      <c r="EY5" s="12">
        <v>41061</v>
      </c>
      <c r="EZ5" s="12">
        <v>41091</v>
      </c>
      <c r="FA5" s="12">
        <v>41122</v>
      </c>
      <c r="FB5" s="12">
        <v>41153</v>
      </c>
      <c r="FC5" s="12">
        <v>41183</v>
      </c>
      <c r="FD5" s="12">
        <v>41214</v>
      </c>
      <c r="FE5" s="12">
        <v>41244</v>
      </c>
      <c r="FF5" s="12">
        <v>41275</v>
      </c>
      <c r="FG5" s="12">
        <v>41306</v>
      </c>
      <c r="FH5" s="12">
        <v>41334</v>
      </c>
      <c r="FI5" s="12">
        <v>41365</v>
      </c>
      <c r="FJ5" s="12">
        <v>41395</v>
      </c>
      <c r="FK5" s="12">
        <v>41426</v>
      </c>
      <c r="FL5" s="12">
        <v>41456</v>
      </c>
      <c r="FM5" s="12">
        <v>41487</v>
      </c>
      <c r="FN5" s="12">
        <v>41518</v>
      </c>
      <c r="FO5" s="12">
        <v>41548</v>
      </c>
      <c r="FP5" s="12">
        <v>41579</v>
      </c>
      <c r="FQ5" s="12">
        <v>41609</v>
      </c>
      <c r="FR5" s="12">
        <v>41640</v>
      </c>
      <c r="FS5" s="12">
        <v>41671</v>
      </c>
      <c r="FT5" s="12">
        <v>41699</v>
      </c>
      <c r="FU5" s="12">
        <v>41730</v>
      </c>
      <c r="FV5" s="12">
        <v>41760</v>
      </c>
      <c r="FW5" s="12">
        <v>41791</v>
      </c>
      <c r="FX5" s="12">
        <v>41821</v>
      </c>
      <c r="FY5" s="12">
        <v>41852</v>
      </c>
      <c r="FZ5" s="12">
        <v>41883</v>
      </c>
      <c r="GA5" s="12">
        <v>41913</v>
      </c>
      <c r="GB5" s="12">
        <v>41944</v>
      </c>
      <c r="GC5" s="12">
        <v>41974</v>
      </c>
      <c r="GD5" s="12">
        <v>42005</v>
      </c>
      <c r="GE5" s="12">
        <v>42036</v>
      </c>
      <c r="GF5" s="12">
        <v>42064</v>
      </c>
      <c r="GG5" s="12">
        <v>42095</v>
      </c>
      <c r="GH5" s="12">
        <v>42125</v>
      </c>
      <c r="GI5" s="12">
        <v>42156</v>
      </c>
      <c r="GJ5" s="12">
        <v>42186</v>
      </c>
      <c r="GK5" s="12">
        <v>42217</v>
      </c>
      <c r="GL5" s="12">
        <v>42248</v>
      </c>
      <c r="GM5" s="12">
        <v>42278</v>
      </c>
      <c r="GN5" s="12">
        <v>42309</v>
      </c>
      <c r="GO5" s="12">
        <v>42339</v>
      </c>
    </row>
    <row r="6" spans="1:197" x14ac:dyDescent="0.25">
      <c r="A6" t="s">
        <v>77</v>
      </c>
      <c r="B6">
        <v>1</v>
      </c>
      <c r="C6" s="131" t="s">
        <v>206</v>
      </c>
      <c r="D6" s="131" t="s">
        <v>207</v>
      </c>
      <c r="E6" s="131" t="s">
        <v>218</v>
      </c>
      <c r="F6" t="s">
        <v>223</v>
      </c>
      <c r="G6" t="s">
        <v>39</v>
      </c>
      <c r="H6" s="6">
        <v>36994</v>
      </c>
      <c r="I6" s="6">
        <v>41640</v>
      </c>
      <c r="J6" s="19" t="s">
        <v>77</v>
      </c>
      <c r="K6" s="19" t="s">
        <v>78</v>
      </c>
      <c r="L6" s="20">
        <v>40940</v>
      </c>
      <c r="M6" s="20">
        <v>41000</v>
      </c>
      <c r="N6">
        <f>SUM(ET6:GO6)</f>
        <v>648</v>
      </c>
      <c r="O6" s="9">
        <f ca="1">EP6</f>
        <v>52.998106710309273</v>
      </c>
      <c r="P6" s="11">
        <f ca="1">O6*N6</f>
        <v>34342.773148280408</v>
      </c>
      <c r="R6" s="54">
        <f>IF(J6="","",VLOOKUP($J6,SettlementRef!$G$6:$AI$100,R$2,0))</f>
        <v>50</v>
      </c>
      <c r="S6" s="55">
        <f>IF(R6="","",VLOOKUP($J6,SettlementRef!$G$6:$AI$100,S$2,0))</f>
        <v>100</v>
      </c>
      <c r="T6" s="55">
        <f>IF(S6="","",VLOOKUP($J6,SettlementRef!$G$6:$AI$100,T$2,0))</f>
        <v>97</v>
      </c>
      <c r="U6" s="55">
        <f>IF(T6="","",VLOOKUP($J6,SettlementRef!$G$6:$AI$100,U$2,0))</f>
        <v>43</v>
      </c>
      <c r="V6" s="55">
        <f>IF(U6="","",VLOOKUP($J6,SettlementRef!$G$6:$AI$100,V$2,0))</f>
        <v>63</v>
      </c>
      <c r="W6" s="55">
        <f>IF(V6="","",VLOOKUP($J6,SettlementRef!$G$6:$AI$100,W$2,0))</f>
        <v>0.54</v>
      </c>
      <c r="X6" s="55">
        <f>IF(W6="","",VLOOKUP($J6,SettlementRef!$G$6:$AI$100,X$2,0))</f>
        <v>27</v>
      </c>
      <c r="Y6" s="55">
        <f>IF(X6="","",VLOOKUP($J6,SettlementRef!$G$6:$AI$100,Y$2,0))</f>
        <v>29.700000000000003</v>
      </c>
      <c r="Z6" s="55">
        <f>IF(Y6="","",VLOOKUP($J6,SettlementRef!$G$6:$AI$100,Z$2,0))</f>
        <v>9.9</v>
      </c>
      <c r="AA6" s="56">
        <f>IF(Z6="","",VLOOKUP($J6,SettlementRef!$G$6:$AI$100,AA$2,0))</f>
        <v>0</v>
      </c>
      <c r="AB6" s="60">
        <f>IF(AA6="","",VLOOKUP($J6,SettlementRef!$G$6:$AI$100,AB$2,0))</f>
        <v>100</v>
      </c>
      <c r="AC6" s="55">
        <f>IF(AB6="","",VLOOKUP($J6,SettlementRef!$G$6:$AI$100,AC$2,0))</f>
        <v>62</v>
      </c>
      <c r="AD6" s="55">
        <f>IF(AC6="","",VLOOKUP($J6,SettlementRef!$G$6:$AI$100,AD$2,0))</f>
        <v>0.249</v>
      </c>
      <c r="AE6" s="55">
        <f>IF(AD6="","",VLOOKUP($J6,SettlementRef!$G$6:$AI$100,AE$2,0))</f>
        <v>0.60099999999999998</v>
      </c>
      <c r="AF6" s="55">
        <f>IF(AE6="","",VLOOKUP($J6,SettlementRef!$G$6:$AI$100,AF$2,0))</f>
        <v>0.54089999999999994</v>
      </c>
      <c r="AG6" s="55">
        <f>IF(AF6="","",VLOOKUP($J6,SettlementRef!$G$6:$AI$100,AG$2,0))</f>
        <v>0.18063000000000001</v>
      </c>
      <c r="AH6" s="55">
        <f>IF(AG6="","",VLOOKUP($J6,SettlementRef!$G$6:$AI$100,AH$2,0))</f>
        <v>7.873119</v>
      </c>
      <c r="AI6" s="55">
        <f>IF(AH6="","",VLOOKUP($J6,SettlementRef!$G$6:$AI$100,AI$2,0))</f>
        <v>0.13100000000000001</v>
      </c>
      <c r="AJ6" s="55">
        <f>IF(AI6="","",VLOOKUP($J6,SettlementRef!$G$6:$AI$100,AJ$2,0))</f>
        <v>0.12052000000000002</v>
      </c>
      <c r="AK6" s="56">
        <f>IF(AJ6="","",VLOOKUP($J6,SettlementRef!$G$6:$AI$100,AK$2,0))</f>
        <v>0.10846800000000002</v>
      </c>
      <c r="AL6" s="60">
        <f>IF(AK6="","",VLOOKUP($J6,SettlementRef!$G$6:$AI$100,AL$2,0))</f>
        <v>20</v>
      </c>
      <c r="AM6" s="55">
        <f>IF(AL6="","",VLOOKUP($J6,SettlementRef!$G$6:$AI$100,AM$2,0))</f>
        <v>30</v>
      </c>
      <c r="AN6" s="55">
        <f>IF(AM6="","",VLOOKUP($J6,SettlementRef!$G$6:$AI$100,AN$2,0))</f>
        <v>5.0999999999999997E-2</v>
      </c>
      <c r="AO6" s="55">
        <f>IF(AN6="","",VLOOKUP($J6,SettlementRef!$G$6:$AI$100,AO$2,0))</f>
        <v>3.5794440000000011E-2</v>
      </c>
      <c r="AP6" s="56">
        <f>IF(AO6="","",VLOOKUP($J6,SettlementRef!$G$6:$AI$100,AP$2,0))</f>
        <v>6.1414200000000016E-2</v>
      </c>
      <c r="AQ6" s="65">
        <f>VLOOKUP($K6,SettlementRef!$G$5:$AI$22,AQ$2,0)</f>
        <v>60</v>
      </c>
      <c r="AR6" s="66">
        <f>VLOOKUP($K6,SettlementRef!$G$5:$AI$22,AR$2,0)</f>
        <v>90</v>
      </c>
      <c r="AS6" s="66">
        <f>VLOOKUP($K6,SettlementRef!$G$5:$AI$22,AS$2,0)</f>
        <v>93</v>
      </c>
      <c r="AT6" s="66">
        <f>VLOOKUP($K6,SettlementRef!$G$5:$AI$22,AT$2,0)</f>
        <v>44</v>
      </c>
      <c r="AU6" s="66">
        <f>VLOOKUP($K6,SettlementRef!$G$5:$AI$22,AU$2,0)</f>
        <v>61</v>
      </c>
      <c r="AV6" s="66">
        <f>VLOOKUP($K6,SettlementRef!$G$5:$AI$22,AV$2,0)</f>
        <v>0.43</v>
      </c>
      <c r="AW6" s="66">
        <f>VLOOKUP($K6,SettlementRef!$G$5:$AI$22,AW$2,0)</f>
        <v>28</v>
      </c>
      <c r="AX6" s="66">
        <f>VLOOKUP($K6,SettlementRef!$G$5:$AI$22,AX$2,0)</f>
        <v>30.800000000000004</v>
      </c>
      <c r="AY6" s="66">
        <f>VLOOKUP($K6,SettlementRef!$G$5:$AI$22,AY$2,0)</f>
        <v>10.266666666666667</v>
      </c>
      <c r="AZ6" s="67">
        <f>VLOOKUP($K6,SettlementRef!$G$5:$AI$22,AZ$2,0)</f>
        <v>0</v>
      </c>
      <c r="BA6" s="65">
        <f>VLOOKUP($K6,SettlementRef!$G$5:$AI$22,BA$2,0)</f>
        <v>110</v>
      </c>
      <c r="BB6" s="66">
        <f>VLOOKUP($K6,SettlementRef!$G$5:$AI$22,BB$2,0)</f>
        <v>63</v>
      </c>
      <c r="BC6" s="66">
        <f>VLOOKUP($K6,SettlementRef!$G$5:$AI$22,BC$2,0)</f>
        <v>0.23499999999999999</v>
      </c>
      <c r="BD6" s="66">
        <f>VLOOKUP($K6,SettlementRef!$G$5:$AI$22,BD$2,0)</f>
        <v>0.60499999999999998</v>
      </c>
      <c r="BE6" s="66">
        <f>VLOOKUP($K6,SettlementRef!$G$5:$AI$22,BE$2,0)</f>
        <v>0.54449999999999998</v>
      </c>
      <c r="BF6" s="66">
        <f>VLOOKUP($K6,SettlementRef!$G$5:$AI$22,BF$2,0)</f>
        <v>0.177285</v>
      </c>
      <c r="BG6" s="66">
        <f>VLOOKUP($K6,SettlementRef!$G$5:$AI$22,BG$2,0)</f>
        <v>8.2057859999999998</v>
      </c>
      <c r="BH6" s="66">
        <f>VLOOKUP($K6,SettlementRef!$G$5:$AI$22,BH$2,0)</f>
        <v>0.15120000000000003</v>
      </c>
      <c r="BI6" s="66">
        <f>VLOOKUP($K6,SettlementRef!$G$5:$AI$22,BI$2,0)</f>
        <v>0.13910400000000001</v>
      </c>
      <c r="BJ6" s="67">
        <f>VLOOKUP($K6,SettlementRef!$G$5:$AI$22,BJ$2,0)</f>
        <v>0.12519360000000002</v>
      </c>
      <c r="BK6" s="65">
        <f>VLOOKUP($K6,SettlementRef!$G$5:$AI$22,BK$2,0)</f>
        <v>21</v>
      </c>
      <c r="BL6" s="66">
        <f>VLOOKUP($K6,SettlementRef!$G$5:$AI$22,BL$2,0)</f>
        <v>31</v>
      </c>
      <c r="BM6" s="66">
        <f>VLOOKUP($K6,SettlementRef!$G$5:$AI$22,BM$2,0)</f>
        <v>5.1999999999999998E-2</v>
      </c>
      <c r="BN6" s="66">
        <f>VLOOKUP($K6,SettlementRef!$G$5:$AI$22,BN$2,0)</f>
        <v>4.1313888000000007E-2</v>
      </c>
      <c r="BO6" s="67">
        <f>VLOOKUP($K6,SettlementRef!$G$5:$AI$22,BO$2,0)</f>
        <v>6.0276900000000008E-2</v>
      </c>
      <c r="BP6" s="74">
        <f t="shared" ref="BP6:BQ10" si="0">AQ6-R6</f>
        <v>10</v>
      </c>
      <c r="BQ6" s="75">
        <f t="shared" si="0"/>
        <v>-10</v>
      </c>
      <c r="BR6" s="75">
        <f t="shared" ref="BR6:CA10" si="1">AS6-T6</f>
        <v>-4</v>
      </c>
      <c r="BS6" s="75">
        <f t="shared" si="1"/>
        <v>1</v>
      </c>
      <c r="BT6" s="75">
        <f t="shared" si="1"/>
        <v>-2</v>
      </c>
      <c r="BU6" s="75">
        <f t="shared" si="1"/>
        <v>-0.11000000000000004</v>
      </c>
      <c r="BV6" s="75">
        <f t="shared" si="1"/>
        <v>1</v>
      </c>
      <c r="BW6" s="75">
        <f t="shared" si="1"/>
        <v>1.1000000000000014</v>
      </c>
      <c r="BX6" s="75">
        <f t="shared" si="1"/>
        <v>0.36666666666666714</v>
      </c>
      <c r="BY6" s="76">
        <f t="shared" si="1"/>
        <v>0</v>
      </c>
      <c r="BZ6" s="83">
        <f t="shared" si="1"/>
        <v>10</v>
      </c>
      <c r="CA6" s="84">
        <f t="shared" si="1"/>
        <v>1</v>
      </c>
      <c r="CB6" s="84">
        <f t="shared" ref="CB6:CK10" si="2">BC6-AD6</f>
        <v>-1.4000000000000012E-2</v>
      </c>
      <c r="CC6" s="84">
        <f t="shared" si="2"/>
        <v>4.0000000000000036E-3</v>
      </c>
      <c r="CD6" s="84">
        <f t="shared" si="2"/>
        <v>3.6000000000000476E-3</v>
      </c>
      <c r="CE6" s="84">
        <f t="shared" si="2"/>
        <v>-3.3450000000000146E-3</v>
      </c>
      <c r="CF6" s="84">
        <f t="shared" si="2"/>
        <v>0.33266699999999982</v>
      </c>
      <c r="CG6" s="84">
        <f t="shared" si="2"/>
        <v>2.0200000000000023E-2</v>
      </c>
      <c r="CH6" s="84">
        <f t="shared" si="2"/>
        <v>1.8583999999999989E-2</v>
      </c>
      <c r="CI6" s="85">
        <f t="shared" si="2"/>
        <v>1.6725599999999993E-2</v>
      </c>
      <c r="CJ6" s="92">
        <f t="shared" si="2"/>
        <v>1</v>
      </c>
      <c r="CK6" s="93">
        <f t="shared" si="2"/>
        <v>1</v>
      </c>
      <c r="CL6" s="93">
        <f t="shared" ref="CL6:CN10" si="3">BM6-AN6</f>
        <v>1.0000000000000009E-3</v>
      </c>
      <c r="CM6" s="93">
        <f t="shared" si="3"/>
        <v>5.5194479999999962E-3</v>
      </c>
      <c r="CN6" s="94">
        <f t="shared" si="3"/>
        <v>-1.1373000000000077E-3</v>
      </c>
      <c r="CO6" s="101">
        <f ca="1">VLOOKUP(CO$5,Recipe_001!$K$6:$M$30,3,0)/R6</f>
        <v>2</v>
      </c>
      <c r="CP6" s="101">
        <f ca="1">VLOOKUP(CP$5,Recipe_001!$K$6:$M$30,3,0)/S6</f>
        <v>0.5</v>
      </c>
      <c r="CQ6" s="101">
        <f ca="1">VLOOKUP(CQ$5,Recipe_001!$K$6:$M$30,3,0)/T6</f>
        <v>0.11092783505154639</v>
      </c>
      <c r="CR6" s="101">
        <f ca="1">VLOOKUP(CR$5,Recipe_001!$K$6:$M$30,3,0)/U6</f>
        <v>0</v>
      </c>
      <c r="CS6" s="101">
        <f ca="1">VLOOKUP(CS$5,Recipe_001!$K$6:$M$30,3,0)/V6</f>
        <v>0</v>
      </c>
      <c r="CT6" s="101">
        <f ca="1">VLOOKUP(CT$5,Recipe_001!$K$6:$M$30,3,0)/W6</f>
        <v>0</v>
      </c>
      <c r="CU6" s="101">
        <f ca="1">VLOOKUP(CU$5,Recipe_001!$K$6:$M$30,3,0)/X6</f>
        <v>0</v>
      </c>
      <c r="CV6" s="101">
        <f ca="1">VLOOKUP(CV$5,Recipe_001!$K$6:$M$30,3,0)/Y6</f>
        <v>0</v>
      </c>
      <c r="CW6" s="101">
        <f ca="1">VLOOKUP(CW$5,Recipe_001!$K$6:$M$30,3,0)/Z6</f>
        <v>0</v>
      </c>
      <c r="CX6" s="101"/>
      <c r="CY6" s="101">
        <f ca="1">VLOOKUP(CY$5,Recipe_001!$K$6:$M$30,3,0)</f>
        <v>0.92999999999999994</v>
      </c>
      <c r="CZ6" s="101">
        <f ca="1">VLOOKUP(CZ$5,Recipe_001!$K$6:$M$30,3,0)</f>
        <v>0.23</v>
      </c>
      <c r="DA6" s="101">
        <f ca="1">VLOOKUP(DA$5,Recipe_001!$K$6:$M$30,3,0)</f>
        <v>132</v>
      </c>
      <c r="DB6" s="101">
        <f ca="1">VLOOKUP(DB$5,Recipe_001!$K$6:$M$30,3,0)</f>
        <v>121</v>
      </c>
      <c r="DC6" s="101">
        <f ca="1">VLOOKUP(DC$5,Recipe_001!$K$6:$M$30,3,0)</f>
        <v>154</v>
      </c>
      <c r="DD6" s="101">
        <f ca="1">VLOOKUP(DD$5,Recipe_001!$K$6:$M$30,3,0)</f>
        <v>143</v>
      </c>
      <c r="DE6" s="101">
        <f ca="1">VLOOKUP(DE$5,Recipe_001!$K$6:$M$30,3,0)</f>
        <v>100</v>
      </c>
      <c r="DF6" s="101">
        <f ca="1">VLOOKUP(DF$5,Recipe_001!$K$6:$M$30,3,0)</f>
        <v>121</v>
      </c>
      <c r="DG6" s="101">
        <f ca="1">VLOOKUP(DG$5,Recipe_001!$K$6:$M$30,3,0)</f>
        <v>111</v>
      </c>
      <c r="DH6" s="101">
        <f ca="1">VLOOKUP(DH$5,Recipe_001!$K$6:$M$30,3,0)</f>
        <v>0</v>
      </c>
      <c r="DI6" s="101">
        <f ca="1">VLOOKUP(DI$5,Recipe_001!$K$6:$M$30,3,0)</f>
        <v>9.2999999999999999E-2</v>
      </c>
      <c r="DJ6" s="101">
        <f ca="1">VLOOKUP(DJ$5,Recipe_001!$K$6:$M$30,3,0)</f>
        <v>13.200000000000001</v>
      </c>
      <c r="DK6" s="101">
        <f ca="1">VLOOKUP(DK$5,Recipe_001!$K$6:$M$30,3,0)</f>
        <v>27.523000000000003</v>
      </c>
      <c r="DL6" s="101">
        <f ca="1">VLOOKUP(DL$5,Recipe_001!$K$6:$M$30,3,0)</f>
        <v>37.5</v>
      </c>
      <c r="DM6" s="101">
        <f ca="1">VLOOKUP(DM$5,Recipe_001!$K$6:$M$30,3,0)</f>
        <v>10</v>
      </c>
      <c r="DN6" s="25">
        <f ca="1">CO6*BZ6</f>
        <v>20</v>
      </c>
      <c r="DO6" s="25">
        <f t="shared" ref="DO6:DW6" ca="1" si="4">CP6*CA6</f>
        <v>0.5</v>
      </c>
      <c r="DP6" s="25">
        <f t="shared" ca="1" si="4"/>
        <v>-1.5529896907216509E-3</v>
      </c>
      <c r="DQ6" s="25">
        <f t="shared" ca="1" si="4"/>
        <v>0</v>
      </c>
      <c r="DR6" s="25">
        <f t="shared" ca="1" si="4"/>
        <v>0</v>
      </c>
      <c r="DS6" s="25">
        <f t="shared" ca="1" si="4"/>
        <v>0</v>
      </c>
      <c r="DT6" s="25">
        <f t="shared" ca="1" si="4"/>
        <v>0</v>
      </c>
      <c r="DU6" s="25">
        <f t="shared" ca="1" si="4"/>
        <v>0</v>
      </c>
      <c r="DV6" s="25">
        <f t="shared" ca="1" si="4"/>
        <v>0</v>
      </c>
      <c r="DW6" s="25">
        <f t="shared" si="4"/>
        <v>0</v>
      </c>
      <c r="DX6" s="33">
        <f ca="1">BZ6*CY6</f>
        <v>9.2999999999999989</v>
      </c>
      <c r="DY6" s="33">
        <f t="shared" ref="DY6:EG6" ca="1" si="5">CA6*CZ6</f>
        <v>0.23</v>
      </c>
      <c r="DZ6" s="33">
        <f t="shared" ca="1" si="5"/>
        <v>-1.8480000000000016</v>
      </c>
      <c r="EA6" s="33">
        <f t="shared" ca="1" si="5"/>
        <v>0.48400000000000043</v>
      </c>
      <c r="EB6" s="33">
        <f t="shared" ca="1" si="5"/>
        <v>0.55440000000000733</v>
      </c>
      <c r="EC6" s="33">
        <f t="shared" ca="1" si="5"/>
        <v>-0.47833500000000206</v>
      </c>
      <c r="ED6" s="33">
        <f t="shared" ca="1" si="5"/>
        <v>33.266699999999986</v>
      </c>
      <c r="EE6" s="33">
        <f t="shared" ca="1" si="5"/>
        <v>2.444200000000003</v>
      </c>
      <c r="EF6" s="33">
        <f t="shared" ca="1" si="5"/>
        <v>2.0628239999999987</v>
      </c>
      <c r="EG6" s="33">
        <f t="shared" ca="1" si="5"/>
        <v>0</v>
      </c>
      <c r="EH6" s="40">
        <f t="shared" ref="EH6:EL6" ca="1" si="6">DI6*CJ6</f>
        <v>9.2999999999999999E-2</v>
      </c>
      <c r="EI6" s="41">
        <f t="shared" ca="1" si="6"/>
        <v>13.200000000000001</v>
      </c>
      <c r="EJ6" s="41">
        <f t="shared" ca="1" si="6"/>
        <v>2.7523000000000027E-2</v>
      </c>
      <c r="EK6" s="41">
        <f t="shared" ca="1" si="6"/>
        <v>0.20697929999999987</v>
      </c>
      <c r="EL6" s="42">
        <f t="shared" ca="1" si="6"/>
        <v>-1.1373000000000077E-2</v>
      </c>
      <c r="EM6" s="16">
        <f ca="1">SUM(DN6:DW6)</f>
        <v>20.498447010309278</v>
      </c>
      <c r="EN6" s="16">
        <f ca="1">SUM(DX6:EG6)</f>
        <v>46.015788999999991</v>
      </c>
      <c r="EO6" s="16">
        <f ca="1">SUM(EH6:EL6)</f>
        <v>13.516129300000001</v>
      </c>
      <c r="EP6" s="17">
        <f ca="1">EM6+EN6-EO6</f>
        <v>52.998106710309273</v>
      </c>
      <c r="EQ6" s="17">
        <f>SUM(ET6:GO6)</f>
        <v>648</v>
      </c>
      <c r="ER6" s="17">
        <f ca="1">EQ6*EP6</f>
        <v>34342.773148280408</v>
      </c>
      <c r="ET6">
        <f>IF(ET$5&gt;=$L6,(IF(ET$5&lt;=$M6,'Sales Qty'!K6,0)),0)</f>
        <v>0</v>
      </c>
      <c r="EU6">
        <f>IF(EU$5&gt;=$L6,(IF(EU$5&lt;=$M6,'Sales Qty'!L6,0)),0)</f>
        <v>213</v>
      </c>
      <c r="EV6">
        <f>IF(EV$5&gt;=$L6,(IF(EV$5&lt;=$M6,'Sales Qty'!M6,0)),0)</f>
        <v>230</v>
      </c>
      <c r="EW6">
        <f>IF(EW$5&gt;=$L6,(IF(EW$5&lt;=$M6,'Sales Qty'!N6,0)),0)</f>
        <v>205</v>
      </c>
      <c r="EX6">
        <f>IF(EX$5&gt;=$L6,(IF(EX$5&lt;=$M6,'Sales Qty'!O6,0)),0)</f>
        <v>0</v>
      </c>
      <c r="EY6">
        <f>IF(EY$5&gt;=$L6,(IF(EY$5&lt;=$M6,'Sales Qty'!P6,0)),0)</f>
        <v>0</v>
      </c>
      <c r="EZ6">
        <f>IF(EZ$5&gt;=$L6,(IF(EZ$5&lt;=$M6,'Sales Qty'!Q6,0)),0)</f>
        <v>0</v>
      </c>
      <c r="FA6">
        <f>IF(FA$5&gt;=$L6,(IF(FA$5&lt;=$M6,'Sales Qty'!R6,0)),0)</f>
        <v>0</v>
      </c>
      <c r="FB6">
        <f>IF(FB$5&gt;=$L6,(IF(FB$5&lt;=$M6,'Sales Qty'!S6,0)),0)</f>
        <v>0</v>
      </c>
      <c r="FC6">
        <f>IF(FC$5&gt;=$L6,(IF(FC$5&lt;=$M6,'Sales Qty'!T6,0)),0)</f>
        <v>0</v>
      </c>
      <c r="FD6">
        <f>IF(FD$5&gt;=$L6,(IF(FD$5&lt;=$M6,'Sales Qty'!U6,0)),0)</f>
        <v>0</v>
      </c>
      <c r="FE6">
        <f>IF(FE$5&gt;=$L6,(IF(FE$5&lt;=$M6,'Sales Qty'!V6,0)),0)</f>
        <v>0</v>
      </c>
      <c r="FF6">
        <f>IF(FF$5&gt;=$L6,(IF(FF$5&lt;=$M6,'Sales Qty'!W6,0)),0)</f>
        <v>0</v>
      </c>
      <c r="FG6">
        <f>IF(FG$5&gt;=$L6,(IF(FG$5&lt;=$M6,'Sales Qty'!X6,0)),0)</f>
        <v>0</v>
      </c>
      <c r="FH6">
        <f>IF(FH$5&gt;=$L6,(IF(FH$5&lt;=$M6,'Sales Qty'!Y6,0)),0)</f>
        <v>0</v>
      </c>
      <c r="FI6">
        <f>IF(FI$5&gt;=$L6,(IF(FI$5&lt;=$M6,'Sales Qty'!Z6,0)),0)</f>
        <v>0</v>
      </c>
      <c r="FJ6">
        <f>IF(FJ$5&gt;=$L6,(IF(FJ$5&lt;=$M6,'Sales Qty'!AA6,0)),0)</f>
        <v>0</v>
      </c>
      <c r="FK6">
        <f>IF(FK$5&gt;=$L6,(IF(FK$5&lt;=$M6,'Sales Qty'!AB6,0)),0)</f>
        <v>0</v>
      </c>
      <c r="FL6">
        <f>IF(FL$5&gt;=$L6,(IF(FL$5&lt;=$M6,'Sales Qty'!AC6,0)),0)</f>
        <v>0</v>
      </c>
      <c r="FM6">
        <f>IF(FM$5&gt;=$L6,(IF(FM$5&lt;=$M6,'Sales Qty'!AD6,0)),0)</f>
        <v>0</v>
      </c>
      <c r="FN6">
        <f>IF(FN$5&gt;=$L6,(IF(FN$5&lt;=$M6,'Sales Qty'!AE6,0)),0)</f>
        <v>0</v>
      </c>
      <c r="FO6">
        <f>IF(FO$5&gt;=$L6,(IF(FO$5&lt;=$M6,'Sales Qty'!AF6,0)),0)</f>
        <v>0</v>
      </c>
      <c r="FP6">
        <f>IF(FP$5&gt;=$L6,(IF(FP$5&lt;=$M6,'Sales Qty'!AG6,0)),0)</f>
        <v>0</v>
      </c>
      <c r="FQ6">
        <f>IF(FQ$5&gt;=$L6,(IF(FQ$5&lt;=$M6,'Sales Qty'!AH6,0)),0)</f>
        <v>0</v>
      </c>
      <c r="FR6">
        <f>IF(FR$5&gt;=$L6,(IF(FR$5&lt;=$M6,'Sales Qty'!AI6,0)),0)</f>
        <v>0</v>
      </c>
      <c r="FS6">
        <f>IF(FS$5&gt;=$L6,(IF(FS$5&lt;=$M6,'Sales Qty'!AJ6,0)),0)</f>
        <v>0</v>
      </c>
      <c r="FT6">
        <f>IF(FT$5&gt;=$L6,(IF(FT$5&lt;=$M6,'Sales Qty'!AK6,0)),0)</f>
        <v>0</v>
      </c>
      <c r="FU6">
        <f>IF(FU$5&gt;=$L6,(IF(FU$5&lt;=$M6,'Sales Qty'!AL6,0)),0)</f>
        <v>0</v>
      </c>
      <c r="FV6">
        <f>IF(FV$5&gt;=$L6,(IF(FV$5&lt;=$M6,'Sales Qty'!AM6,0)),0)</f>
        <v>0</v>
      </c>
      <c r="FW6">
        <f>IF(FW$5&gt;=$L6,(IF(FW$5&lt;=$M6,'Sales Qty'!AN6,0)),0)</f>
        <v>0</v>
      </c>
      <c r="FX6">
        <f>IF(FX$5&gt;=$L6,(IF(FX$5&lt;=$M6,'Sales Qty'!AO6,0)),0)</f>
        <v>0</v>
      </c>
      <c r="FY6">
        <f>IF(FY$5&gt;=$L6,(IF(FY$5&lt;=$M6,'Sales Qty'!AP6,0)),0)</f>
        <v>0</v>
      </c>
      <c r="FZ6">
        <f>IF(FZ$5&gt;=$L6,(IF(FZ$5&lt;=$M6,'Sales Qty'!AQ6,0)),0)</f>
        <v>0</v>
      </c>
      <c r="GA6">
        <f>IF(GA$5&gt;=$L6,(IF(GA$5&lt;=$M6,'Sales Qty'!AR6,0)),0)</f>
        <v>0</v>
      </c>
      <c r="GB6">
        <f>IF(GB$5&gt;=$L6,(IF(GB$5&lt;=$M6,'Sales Qty'!AS6,0)),0)</f>
        <v>0</v>
      </c>
      <c r="GC6">
        <f>IF(GC$5&gt;=$L6,(IF(GC$5&lt;=$M6,'Sales Qty'!AT6,0)),0)</f>
        <v>0</v>
      </c>
      <c r="GD6">
        <f>IF(GD$5&gt;=$L6,(IF(GD$5&lt;=$M6,'Sales Qty'!AU6,0)),0)</f>
        <v>0</v>
      </c>
      <c r="GE6">
        <f>IF(GE$5&gt;=$L6,(IF(GE$5&lt;=$M6,'Sales Qty'!AV6,0)),0)</f>
        <v>0</v>
      </c>
      <c r="GF6">
        <f>IF(GF$5&gt;=$L6,(IF(GF$5&lt;=$M6,'Sales Qty'!AW6,0)),0)</f>
        <v>0</v>
      </c>
      <c r="GG6">
        <f>IF(GG$5&gt;=$L6,(IF(GG$5&lt;=$M6,'Sales Qty'!AX6,0)),0)</f>
        <v>0</v>
      </c>
      <c r="GH6">
        <f>IF(GH$5&gt;=$L6,(IF(GH$5&lt;=$M6,'Sales Qty'!AY6,0)),0)</f>
        <v>0</v>
      </c>
      <c r="GI6">
        <f>IF(GI$5&gt;=$L6,(IF(GI$5&lt;=$M6,'Sales Qty'!AZ6,0)),0)</f>
        <v>0</v>
      </c>
      <c r="GJ6">
        <f>IF(GJ$5&gt;=$L6,(IF(GJ$5&lt;=$M6,'Sales Qty'!BA6,0)),0)</f>
        <v>0</v>
      </c>
      <c r="GK6">
        <f>IF(GK$5&gt;=$L6,(IF(GK$5&lt;=$M6,'Sales Qty'!BB6,0)),0)</f>
        <v>0</v>
      </c>
      <c r="GL6">
        <f>IF(GL$5&gt;=$L6,(IF(GL$5&lt;=$M6,'Sales Qty'!BC6,0)),0)</f>
        <v>0</v>
      </c>
      <c r="GM6">
        <f>IF(GM$5&gt;=$L6,(IF(GM$5&lt;=$M6,'Sales Qty'!BD6,0)),0)</f>
        <v>0</v>
      </c>
      <c r="GN6">
        <f>IF(GN$5&gt;=$L6,(IF(GN$5&lt;=$M6,'Sales Qty'!BE6,0)),0)</f>
        <v>0</v>
      </c>
      <c r="GO6">
        <f>IF(GO$5&gt;=$L6,(IF(GO$5&lt;=$M6,'Sales Qty'!BF6,0)),0)</f>
        <v>0</v>
      </c>
    </row>
    <row r="7" spans="1:197" x14ac:dyDescent="0.25">
      <c r="A7" t="s">
        <v>78</v>
      </c>
      <c r="C7" t="s">
        <v>211</v>
      </c>
      <c r="D7" t="s">
        <v>209</v>
      </c>
      <c r="E7" s="131" t="s">
        <v>219</v>
      </c>
      <c r="F7" t="s">
        <v>224</v>
      </c>
      <c r="G7" t="s">
        <v>40</v>
      </c>
      <c r="H7" s="6">
        <v>36994</v>
      </c>
      <c r="I7" s="6">
        <v>41640</v>
      </c>
      <c r="J7" s="19" t="s">
        <v>78</v>
      </c>
      <c r="K7" s="19" t="s">
        <v>79</v>
      </c>
      <c r="L7" s="20">
        <v>41000</v>
      </c>
      <c r="M7" s="20">
        <v>41061</v>
      </c>
      <c r="N7">
        <f>SUM(ET7:GO7)</f>
        <v>490</v>
      </c>
      <c r="O7" s="21">
        <f>EP7</f>
        <v>0</v>
      </c>
      <c r="P7" s="11">
        <f>O7*N7</f>
        <v>0</v>
      </c>
      <c r="R7" s="54">
        <f>IF(J7="","",VLOOKUP($J7,SettlementRef!$G$6:$AI$100,R$2,0))</f>
        <v>60</v>
      </c>
      <c r="S7" s="55">
        <f>IF(R7="","",VLOOKUP($J7,SettlementRef!$G$6:$AI$100,S$2,0))</f>
        <v>90</v>
      </c>
      <c r="T7" s="55">
        <f>IF(S7="","",VLOOKUP($J7,SettlementRef!$G$6:$AI$100,T$2,0))</f>
        <v>93</v>
      </c>
      <c r="U7" s="55">
        <f>IF(T7="","",VLOOKUP($J7,SettlementRef!$G$6:$AI$100,U$2,0))</f>
        <v>44</v>
      </c>
      <c r="V7" s="55">
        <f>IF(U7="","",VLOOKUP($J7,SettlementRef!$G$6:$AI$100,V$2,0))</f>
        <v>61</v>
      </c>
      <c r="W7" s="55">
        <f>IF(V7="","",VLOOKUP($J7,SettlementRef!$G$6:$AI$100,W$2,0))</f>
        <v>0.43</v>
      </c>
      <c r="X7" s="55">
        <f>IF(W7="","",VLOOKUP($J7,SettlementRef!$G$6:$AI$100,X$2,0))</f>
        <v>28</v>
      </c>
      <c r="Y7" s="55">
        <f>IF(X7="","",VLOOKUP($J7,SettlementRef!$G$6:$AI$100,Y$2,0))</f>
        <v>30.800000000000004</v>
      </c>
      <c r="Z7" s="55">
        <f>IF(Y7="","",VLOOKUP($J7,SettlementRef!$G$6:$AI$100,Z$2,0))</f>
        <v>10.266666666666667</v>
      </c>
      <c r="AA7" s="56">
        <f>IF(Z7="","",VLOOKUP($J7,SettlementRef!$G$6:$AI$100,AA$2,0))</f>
        <v>0</v>
      </c>
      <c r="AB7" s="60">
        <f>IF(AA7="","",VLOOKUP($J7,SettlementRef!$G$6:$AI$100,AB$2,0))</f>
        <v>110</v>
      </c>
      <c r="AC7" s="55">
        <f>IF(AB7="","",VLOOKUP($J7,SettlementRef!$G$6:$AI$100,AC$2,0))</f>
        <v>63</v>
      </c>
      <c r="AD7" s="55">
        <f>IF(AC7="","",VLOOKUP($J7,SettlementRef!$G$6:$AI$100,AD$2,0))</f>
        <v>0.23499999999999999</v>
      </c>
      <c r="AE7" s="55">
        <f>IF(AD7="","",VLOOKUP($J7,SettlementRef!$G$6:$AI$100,AE$2,0))</f>
        <v>0.60499999999999998</v>
      </c>
      <c r="AF7" s="55">
        <f>IF(AE7="","",VLOOKUP($J7,SettlementRef!$G$6:$AI$100,AF$2,0))</f>
        <v>0.54449999999999998</v>
      </c>
      <c r="AG7" s="55">
        <f>IF(AF7="","",VLOOKUP($J7,SettlementRef!$G$6:$AI$100,AG$2,0))</f>
        <v>0.177285</v>
      </c>
      <c r="AH7" s="55">
        <f>IF(AG7="","",VLOOKUP($J7,SettlementRef!$G$6:$AI$100,AH$2,0))</f>
        <v>8.2057859999999998</v>
      </c>
      <c r="AI7" s="55">
        <f>IF(AH7="","",VLOOKUP($J7,SettlementRef!$G$6:$AI$100,AI$2,0))</f>
        <v>0.15120000000000003</v>
      </c>
      <c r="AJ7" s="55">
        <f>IF(AI7="","",VLOOKUP($J7,SettlementRef!$G$6:$AI$100,AJ$2,0))</f>
        <v>0.13910400000000001</v>
      </c>
      <c r="AK7" s="56">
        <f>IF(AJ7="","",VLOOKUP($J7,SettlementRef!$G$6:$AI$100,AK$2,0))</f>
        <v>0.12519360000000002</v>
      </c>
      <c r="AL7" s="60">
        <f>IF(AK7="","",VLOOKUP($J7,SettlementRef!$G$6:$AI$100,AL$2,0))</f>
        <v>21</v>
      </c>
      <c r="AM7" s="55">
        <f>IF(AL7="","",VLOOKUP($J7,SettlementRef!$G$6:$AI$100,AM$2,0))</f>
        <v>31</v>
      </c>
      <c r="AN7" s="55">
        <f>IF(AM7="","",VLOOKUP($J7,SettlementRef!$G$6:$AI$100,AN$2,0))</f>
        <v>5.1999999999999998E-2</v>
      </c>
      <c r="AO7" s="55">
        <f>IF(AN7="","",VLOOKUP($J7,SettlementRef!$G$6:$AI$100,AO$2,0))</f>
        <v>4.1313888000000007E-2</v>
      </c>
      <c r="AP7" s="56">
        <f>IF(AO7="","",VLOOKUP($J7,SettlementRef!$G$6:$AI$100,AP$2,0))</f>
        <v>6.0276900000000008E-2</v>
      </c>
      <c r="AQ7" s="65">
        <f>VLOOKUP($K7,SettlementRef!$G$5:$AI$22,AQ$2,0)</f>
        <v>50</v>
      </c>
      <c r="AR7" s="66">
        <f>VLOOKUP($K7,SettlementRef!$G$5:$AI$22,AR$2,0)</f>
        <v>83</v>
      </c>
      <c r="AS7" s="66">
        <f>VLOOKUP($K7,SettlementRef!$G$5:$AI$22,AS$2,0)</f>
        <v>91</v>
      </c>
      <c r="AT7" s="66">
        <f>VLOOKUP($K7,SettlementRef!$G$5:$AI$22,AT$2,0)</f>
        <v>45</v>
      </c>
      <c r="AU7" s="66">
        <f>VLOOKUP($K7,SettlementRef!$G$5:$AI$22,AU$2,0)</f>
        <v>67</v>
      </c>
      <c r="AV7" s="66">
        <f>VLOOKUP($K7,SettlementRef!$G$5:$AI$22,AV$2,0)</f>
        <v>0.54</v>
      </c>
      <c r="AW7" s="66">
        <f>VLOOKUP($K7,SettlementRef!$G$5:$AI$22,AW$2,0)</f>
        <v>29</v>
      </c>
      <c r="AX7" s="66">
        <f>VLOOKUP($K7,SettlementRef!$G$5:$AI$22,AX$2,0)</f>
        <v>31.900000000000002</v>
      </c>
      <c r="AY7" s="66">
        <f>VLOOKUP($K7,SettlementRef!$G$5:$AI$22,AY$2,0)</f>
        <v>10.633333333333335</v>
      </c>
      <c r="AZ7" s="67">
        <f>VLOOKUP($K7,SettlementRef!$G$5:$AI$22,AZ$2,0)</f>
        <v>0</v>
      </c>
      <c r="BA7" s="65">
        <f>VLOOKUP($K7,SettlementRef!$G$5:$AI$22,BA$2,0)</f>
        <v>56</v>
      </c>
      <c r="BB7" s="66">
        <f>VLOOKUP($K7,SettlementRef!$G$5:$AI$22,BB$2,0)</f>
        <v>67</v>
      </c>
      <c r="BC7" s="66">
        <f>VLOOKUP($K7,SettlementRef!$G$5:$AI$22,BC$2,0)</f>
        <v>0.245</v>
      </c>
      <c r="BD7" s="66">
        <f>VLOOKUP($K7,SettlementRef!$G$5:$AI$22,BD$2,0)</f>
        <v>0.59899999999999998</v>
      </c>
      <c r="BE7" s="66">
        <f>VLOOKUP($K7,SettlementRef!$G$5:$AI$22,BE$2,0)</f>
        <v>0.53910000000000002</v>
      </c>
      <c r="BF7" s="66">
        <f>VLOOKUP($K7,SettlementRef!$G$5:$AI$22,BF$2,0)</f>
        <v>0.18732000000000001</v>
      </c>
      <c r="BG7" s="66">
        <f>VLOOKUP($K7,SettlementRef!$G$5:$AI$22,BG$2,0)</f>
        <v>7.6513409999999995</v>
      </c>
      <c r="BH7" s="66">
        <f>VLOOKUP($K7,SettlementRef!$G$5:$AI$22,BH$2,0)</f>
        <v>0.1449</v>
      </c>
      <c r="BI7" s="66">
        <f>VLOOKUP($K7,SettlementRef!$G$5:$AI$22,BI$2,0)</f>
        <v>0.13330800000000001</v>
      </c>
      <c r="BJ7" s="67">
        <f>VLOOKUP($K7,SettlementRef!$G$5:$AI$22,BJ$2,0)</f>
        <v>0.11997720000000002</v>
      </c>
      <c r="BK7" s="65">
        <f>VLOOKUP($K7,SettlementRef!$G$5:$AI$22,BK$2,0)</f>
        <v>23</v>
      </c>
      <c r="BL7" s="66">
        <f>VLOOKUP($K7,SettlementRef!$G$5:$AI$22,BL$2,0)</f>
        <v>33</v>
      </c>
      <c r="BM7" s="66">
        <f>VLOOKUP($K7,SettlementRef!$G$5:$AI$22,BM$2,0)</f>
        <v>5.3999999999999999E-2</v>
      </c>
      <c r="BN7" s="66">
        <f>VLOOKUP($K7,SettlementRef!$G$5:$AI$22,BN$2,0)</f>
        <v>3.9592476000000015E-2</v>
      </c>
      <c r="BO7" s="67">
        <f>VLOOKUP($K7,SettlementRef!$G$5:$AI$22,BO$2,0)</f>
        <v>6.3688800000000018E-2</v>
      </c>
      <c r="BP7" s="74">
        <f>AQ7-R7</f>
        <v>-10</v>
      </c>
      <c r="BQ7" s="75">
        <f t="shared" si="0"/>
        <v>-7</v>
      </c>
      <c r="BR7" s="75">
        <f t="shared" si="1"/>
        <v>-2</v>
      </c>
      <c r="BS7" s="75">
        <f t="shared" si="1"/>
        <v>1</v>
      </c>
      <c r="BT7" s="75">
        <f t="shared" si="1"/>
        <v>6</v>
      </c>
      <c r="BU7" s="75">
        <f t="shared" si="1"/>
        <v>0.11000000000000004</v>
      </c>
      <c r="BV7" s="75">
        <f t="shared" si="1"/>
        <v>1</v>
      </c>
      <c r="BW7" s="75">
        <f t="shared" si="1"/>
        <v>1.0999999999999979</v>
      </c>
      <c r="BX7" s="75">
        <f t="shared" si="1"/>
        <v>0.36666666666666714</v>
      </c>
      <c r="BY7" s="76">
        <f t="shared" si="1"/>
        <v>0</v>
      </c>
      <c r="BZ7" s="83">
        <f t="shared" si="1"/>
        <v>-54</v>
      </c>
      <c r="CA7" s="84">
        <f t="shared" si="1"/>
        <v>4</v>
      </c>
      <c r="CB7" s="84">
        <f t="shared" si="2"/>
        <v>1.0000000000000009E-2</v>
      </c>
      <c r="CC7" s="84">
        <f t="shared" si="2"/>
        <v>-6.0000000000000053E-3</v>
      </c>
      <c r="CD7" s="84">
        <f t="shared" si="2"/>
        <v>-5.3999999999999604E-3</v>
      </c>
      <c r="CE7" s="84">
        <f t="shared" si="2"/>
        <v>1.0035000000000016E-2</v>
      </c>
      <c r="CF7" s="84">
        <f t="shared" si="2"/>
        <v>-0.5544450000000003</v>
      </c>
      <c r="CG7" s="84">
        <f t="shared" si="2"/>
        <v>-6.3000000000000278E-3</v>
      </c>
      <c r="CH7" s="84">
        <f t="shared" si="2"/>
        <v>-5.7959999999999956E-3</v>
      </c>
      <c r="CI7" s="85">
        <f t="shared" si="2"/>
        <v>-5.216399999999996E-3</v>
      </c>
      <c r="CJ7" s="92">
        <f t="shared" si="2"/>
        <v>2</v>
      </c>
      <c r="CK7" s="93">
        <f t="shared" si="2"/>
        <v>2</v>
      </c>
      <c r="CL7" s="93">
        <f t="shared" si="3"/>
        <v>2.0000000000000018E-3</v>
      </c>
      <c r="CM7" s="93">
        <f t="shared" si="3"/>
        <v>-1.7214119999999916E-3</v>
      </c>
      <c r="CN7" s="94">
        <f t="shared" si="3"/>
        <v>3.4119000000000094E-3</v>
      </c>
      <c r="CO7" s="101"/>
      <c r="CP7" s="102"/>
      <c r="CQ7" s="102"/>
      <c r="CR7" s="102"/>
      <c r="CS7" s="102"/>
      <c r="CT7" s="102"/>
      <c r="CU7" s="102"/>
      <c r="CV7" s="102"/>
      <c r="CW7" s="102"/>
      <c r="CX7" s="103"/>
      <c r="CY7" s="110"/>
      <c r="CZ7" s="111"/>
      <c r="DA7" s="111"/>
      <c r="DB7" s="111"/>
      <c r="DC7" s="111"/>
      <c r="DD7" s="111"/>
      <c r="DE7" s="111"/>
      <c r="DF7" s="111"/>
      <c r="DG7" s="111"/>
      <c r="DH7" s="112"/>
      <c r="DI7" s="119"/>
      <c r="DJ7" s="120"/>
      <c r="DK7" s="120"/>
      <c r="DL7" s="120"/>
      <c r="DM7" s="121"/>
      <c r="DN7" s="25"/>
      <c r="DO7" s="26"/>
      <c r="DP7" s="26"/>
      <c r="DQ7" s="26"/>
      <c r="DR7" s="26"/>
      <c r="DS7" s="26"/>
      <c r="DT7" s="26"/>
      <c r="DU7" s="26"/>
      <c r="DV7" s="26"/>
      <c r="DW7" s="27"/>
      <c r="DX7" s="33"/>
      <c r="DY7" s="33"/>
      <c r="DZ7" s="33"/>
      <c r="EA7" s="33"/>
      <c r="EB7" s="33"/>
      <c r="EC7" s="33"/>
      <c r="ED7" s="33"/>
      <c r="EE7" s="33"/>
      <c r="EF7" s="33"/>
      <c r="EG7" s="33"/>
      <c r="EH7" s="40"/>
      <c r="EI7" s="41"/>
      <c r="EJ7" s="41"/>
      <c r="EK7" s="41"/>
      <c r="EL7" s="42"/>
      <c r="EM7" s="16">
        <f>SUM(DN7:DW7)</f>
        <v>0</v>
      </c>
      <c r="EN7" s="16">
        <f>SUM(DX7:EG7)</f>
        <v>0</v>
      </c>
      <c r="EO7" s="16">
        <f>SUM(EH7:EL7)</f>
        <v>0</v>
      </c>
      <c r="EP7" s="17">
        <f>EM7+EN7-EO7</f>
        <v>0</v>
      </c>
      <c r="EQ7" s="17">
        <f>SUM(ET7:GO7)</f>
        <v>490</v>
      </c>
      <c r="ER7" s="17">
        <f>EQ7*EP7</f>
        <v>0</v>
      </c>
      <c r="ET7">
        <f>IF(ET$5&gt;=$L7,(IF(ET$5&lt;=$M7,'Sales Qty'!K7,0)),0)</f>
        <v>0</v>
      </c>
      <c r="EU7">
        <f>IF(EU$5&gt;=$L7,(IF(EU$5&lt;=$M7,'Sales Qty'!L7,0)),0)</f>
        <v>0</v>
      </c>
      <c r="EV7">
        <f>IF(EV$5&gt;=$L7,(IF(EV$5&lt;=$M7,'Sales Qty'!M7,0)),0)</f>
        <v>0</v>
      </c>
      <c r="EW7">
        <f>IF(EW$5&gt;=$L7,(IF(EW$5&lt;=$M7,'Sales Qty'!N7,0)),0)</f>
        <v>126</v>
      </c>
      <c r="EX7">
        <f>IF(EX$5&gt;=$L7,(IF(EX$5&lt;=$M7,'Sales Qty'!O7,0)),0)</f>
        <v>226</v>
      </c>
      <c r="EY7">
        <f>IF(EY$5&gt;=$L7,(IF(EY$5&lt;=$M7,'Sales Qty'!P7,0)),0)</f>
        <v>138</v>
      </c>
      <c r="EZ7">
        <f>IF(EZ$5&gt;=$L7,(IF(EZ$5&lt;=$M7,'Sales Qty'!Q7,0)),0)</f>
        <v>0</v>
      </c>
      <c r="FA7">
        <f>IF(FA$5&gt;=$L7,(IF(FA$5&lt;=$M7,'Sales Qty'!R7,0)),0)</f>
        <v>0</v>
      </c>
      <c r="FB7">
        <f>IF(FB$5&gt;=$L7,(IF(FB$5&lt;=$M7,'Sales Qty'!S7,0)),0)</f>
        <v>0</v>
      </c>
      <c r="FC7">
        <f>IF(FC$5&gt;=$L7,(IF(FC$5&lt;=$M7,'Sales Qty'!T7,0)),0)</f>
        <v>0</v>
      </c>
      <c r="FD7">
        <f>IF(FD$5&gt;=$L7,(IF(FD$5&lt;=$M7,'Sales Qty'!U7,0)),0)</f>
        <v>0</v>
      </c>
      <c r="FE7">
        <f>IF(FE$5&gt;=$L7,(IF(FE$5&lt;=$M7,'Sales Qty'!V7,0)),0)</f>
        <v>0</v>
      </c>
      <c r="FF7">
        <f>IF(FF$5&gt;=$L7,(IF(FF$5&lt;=$M7,'Sales Qty'!W7,0)),0)</f>
        <v>0</v>
      </c>
      <c r="FG7">
        <f>IF(FG$5&gt;=$L7,(IF(FG$5&lt;=$M7,'Sales Qty'!X7,0)),0)</f>
        <v>0</v>
      </c>
      <c r="FH7">
        <f>IF(FH$5&gt;=$L7,(IF(FH$5&lt;=$M7,'Sales Qty'!Y7,0)),0)</f>
        <v>0</v>
      </c>
      <c r="FI7">
        <f>IF(FI$5&gt;=$L7,(IF(FI$5&lt;=$M7,'Sales Qty'!Z7,0)),0)</f>
        <v>0</v>
      </c>
      <c r="FJ7">
        <f>IF(FJ$5&gt;=$L7,(IF(FJ$5&lt;=$M7,'Sales Qty'!AA7,0)),0)</f>
        <v>0</v>
      </c>
      <c r="FK7">
        <f>IF(FK$5&gt;=$L7,(IF(FK$5&lt;=$M7,'Sales Qty'!AB7,0)),0)</f>
        <v>0</v>
      </c>
      <c r="FL7">
        <f>IF(FL$5&gt;=$L7,(IF(FL$5&lt;=$M7,'Sales Qty'!AC7,0)),0)</f>
        <v>0</v>
      </c>
      <c r="FM7">
        <f>IF(FM$5&gt;=$L7,(IF(FM$5&lt;=$M7,'Sales Qty'!AD7,0)),0)</f>
        <v>0</v>
      </c>
      <c r="FN7">
        <f>IF(FN$5&gt;=$L7,(IF(FN$5&lt;=$M7,'Sales Qty'!AE7,0)),0)</f>
        <v>0</v>
      </c>
      <c r="FO7">
        <f>IF(FO$5&gt;=$L7,(IF(FO$5&lt;=$M7,'Sales Qty'!AF7,0)),0)</f>
        <v>0</v>
      </c>
      <c r="FP7">
        <f>IF(FP$5&gt;=$L7,(IF(FP$5&lt;=$M7,'Sales Qty'!AG7,0)),0)</f>
        <v>0</v>
      </c>
      <c r="FQ7">
        <f>IF(FQ$5&gt;=$L7,(IF(FQ$5&lt;=$M7,'Sales Qty'!AH7,0)),0)</f>
        <v>0</v>
      </c>
      <c r="FR7">
        <f>IF(FR$5&gt;=$L7,(IF(FR$5&lt;=$M7,'Sales Qty'!AI7,0)),0)</f>
        <v>0</v>
      </c>
      <c r="FS7">
        <f>IF(FS$5&gt;=$L7,(IF(FS$5&lt;=$M7,'Sales Qty'!AJ7,0)),0)</f>
        <v>0</v>
      </c>
      <c r="FT7">
        <f>IF(FT$5&gt;=$L7,(IF(FT$5&lt;=$M7,'Sales Qty'!AK7,0)),0)</f>
        <v>0</v>
      </c>
      <c r="FU7">
        <f>IF(FU$5&gt;=$L7,(IF(FU$5&lt;=$M7,'Sales Qty'!AL7,0)),0)</f>
        <v>0</v>
      </c>
      <c r="FV7">
        <f>IF(FV$5&gt;=$L7,(IF(FV$5&lt;=$M7,'Sales Qty'!AM7,0)),0)</f>
        <v>0</v>
      </c>
      <c r="FW7">
        <f>IF(FW$5&gt;=$L7,(IF(FW$5&lt;=$M7,'Sales Qty'!AN7,0)),0)</f>
        <v>0</v>
      </c>
      <c r="FX7">
        <f>IF(FX$5&gt;=$L7,(IF(FX$5&lt;=$M7,'Sales Qty'!AO7,0)),0)</f>
        <v>0</v>
      </c>
      <c r="FY7">
        <f>IF(FY$5&gt;=$L7,(IF(FY$5&lt;=$M7,'Sales Qty'!AP7,0)),0)</f>
        <v>0</v>
      </c>
      <c r="FZ7">
        <f>IF(FZ$5&gt;=$L7,(IF(FZ$5&lt;=$M7,'Sales Qty'!AQ7,0)),0)</f>
        <v>0</v>
      </c>
      <c r="GA7">
        <f>IF(GA$5&gt;=$L7,(IF(GA$5&lt;=$M7,'Sales Qty'!AR7,0)),0)</f>
        <v>0</v>
      </c>
      <c r="GB7">
        <f>IF(GB$5&gt;=$L7,(IF(GB$5&lt;=$M7,'Sales Qty'!AS7,0)),0)</f>
        <v>0</v>
      </c>
      <c r="GC7">
        <f>IF(GC$5&gt;=$L7,(IF(GC$5&lt;=$M7,'Sales Qty'!AT7,0)),0)</f>
        <v>0</v>
      </c>
      <c r="GD7">
        <f>IF(GD$5&gt;=$L7,(IF(GD$5&lt;=$M7,'Sales Qty'!AU7,0)),0)</f>
        <v>0</v>
      </c>
      <c r="GE7">
        <f>IF(GE$5&gt;=$L7,(IF(GE$5&lt;=$M7,'Sales Qty'!AV7,0)),0)</f>
        <v>0</v>
      </c>
      <c r="GF7">
        <f>IF(GF$5&gt;=$L7,(IF(GF$5&lt;=$M7,'Sales Qty'!AW7,0)),0)</f>
        <v>0</v>
      </c>
      <c r="GG7">
        <f>IF(GG$5&gt;=$L7,(IF(GG$5&lt;=$M7,'Sales Qty'!AX7,0)),0)</f>
        <v>0</v>
      </c>
      <c r="GH7">
        <f>IF(GH$5&gt;=$L7,(IF(GH$5&lt;=$M7,'Sales Qty'!AY7,0)),0)</f>
        <v>0</v>
      </c>
      <c r="GI7">
        <f>IF(GI$5&gt;=$L7,(IF(GI$5&lt;=$M7,'Sales Qty'!AZ7,0)),0)</f>
        <v>0</v>
      </c>
      <c r="GJ7">
        <f>IF(GJ$5&gt;=$L7,(IF(GJ$5&lt;=$M7,'Sales Qty'!BA7,0)),0)</f>
        <v>0</v>
      </c>
      <c r="GK7">
        <f>IF(GK$5&gt;=$L7,(IF(GK$5&lt;=$M7,'Sales Qty'!BB7,0)),0)</f>
        <v>0</v>
      </c>
      <c r="GL7">
        <f>IF(GL$5&gt;=$L7,(IF(GL$5&lt;=$M7,'Sales Qty'!BC7,0)),0)</f>
        <v>0</v>
      </c>
      <c r="GM7">
        <f>IF(GM$5&gt;=$L7,(IF(GM$5&lt;=$M7,'Sales Qty'!BD7,0)),0)</f>
        <v>0</v>
      </c>
      <c r="GN7">
        <f>IF(GN$5&gt;=$L7,(IF(GN$5&lt;=$M7,'Sales Qty'!BE7,0)),0)</f>
        <v>0</v>
      </c>
      <c r="GO7">
        <f>IF(GO$5&gt;=$L7,(IF(GO$5&lt;=$M7,'Sales Qty'!BF7,0)),0)</f>
        <v>0</v>
      </c>
    </row>
    <row r="8" spans="1:197" x14ac:dyDescent="0.25">
      <c r="A8" t="s">
        <v>79</v>
      </c>
      <c r="C8" t="s">
        <v>214</v>
      </c>
      <c r="D8" t="s">
        <v>44</v>
      </c>
      <c r="E8" s="131" t="s">
        <v>220</v>
      </c>
      <c r="F8" t="s">
        <v>47</v>
      </c>
      <c r="G8" t="s">
        <v>41</v>
      </c>
      <c r="H8" s="6">
        <v>36994</v>
      </c>
      <c r="I8" s="6">
        <v>41640</v>
      </c>
      <c r="J8" s="19" t="s">
        <v>78</v>
      </c>
      <c r="K8" s="19" t="s">
        <v>79</v>
      </c>
      <c r="L8" s="20"/>
      <c r="M8" s="20"/>
      <c r="N8">
        <f>SUM(ET8:GO8)</f>
        <v>0</v>
      </c>
      <c r="O8" s="21">
        <f>EP8</f>
        <v>0</v>
      </c>
      <c r="P8" s="11">
        <f>O8*N8</f>
        <v>0</v>
      </c>
      <c r="R8" s="54">
        <f>IF(J8="","",VLOOKUP($J8,SettlementRef!$G$6:$AI$100,R$2,0))</f>
        <v>60</v>
      </c>
      <c r="S8" s="55">
        <f>IF(R8="","",VLOOKUP($J8,SettlementRef!$G$6:$AI$100,S$2,0))</f>
        <v>90</v>
      </c>
      <c r="T8" s="55">
        <f>IF(S8="","",VLOOKUP($J8,SettlementRef!$G$6:$AI$100,T$2,0))</f>
        <v>93</v>
      </c>
      <c r="U8" s="55">
        <f>IF(T8="","",VLOOKUP($J8,SettlementRef!$G$6:$AI$100,U$2,0))</f>
        <v>44</v>
      </c>
      <c r="V8" s="55">
        <f>IF(U8="","",VLOOKUP($J8,SettlementRef!$G$6:$AI$100,V$2,0))</f>
        <v>61</v>
      </c>
      <c r="W8" s="55">
        <f>IF(V8="","",VLOOKUP($J8,SettlementRef!$G$6:$AI$100,W$2,0))</f>
        <v>0.43</v>
      </c>
      <c r="X8" s="55">
        <f>IF(W8="","",VLOOKUP($J8,SettlementRef!$G$6:$AI$100,X$2,0))</f>
        <v>28</v>
      </c>
      <c r="Y8" s="55">
        <f>IF(X8="","",VLOOKUP($J8,SettlementRef!$G$6:$AI$100,Y$2,0))</f>
        <v>30.800000000000004</v>
      </c>
      <c r="Z8" s="55">
        <f>IF(Y8="","",VLOOKUP($J8,SettlementRef!$G$6:$AI$100,Z$2,0))</f>
        <v>10.266666666666667</v>
      </c>
      <c r="AA8" s="56">
        <f>IF(Z8="","",VLOOKUP($J8,SettlementRef!$G$6:$AI$100,AA$2,0))</f>
        <v>0</v>
      </c>
      <c r="AB8" s="60">
        <f>IF(AA8="","",VLOOKUP($J8,SettlementRef!$G$6:$AI$100,AB$2,0))</f>
        <v>110</v>
      </c>
      <c r="AC8" s="55">
        <f>IF(AB8="","",VLOOKUP($J8,SettlementRef!$G$6:$AI$100,AC$2,0))</f>
        <v>63</v>
      </c>
      <c r="AD8" s="55">
        <f>IF(AC8="","",VLOOKUP($J8,SettlementRef!$G$6:$AI$100,AD$2,0))</f>
        <v>0.23499999999999999</v>
      </c>
      <c r="AE8" s="55">
        <f>IF(AD8="","",VLOOKUP($J8,SettlementRef!$G$6:$AI$100,AE$2,0))</f>
        <v>0.60499999999999998</v>
      </c>
      <c r="AF8" s="55">
        <f>IF(AE8="","",VLOOKUP($J8,SettlementRef!$G$6:$AI$100,AF$2,0))</f>
        <v>0.54449999999999998</v>
      </c>
      <c r="AG8" s="55">
        <f>IF(AF8="","",VLOOKUP($J8,SettlementRef!$G$6:$AI$100,AG$2,0))</f>
        <v>0.177285</v>
      </c>
      <c r="AH8" s="55">
        <f>IF(AG8="","",VLOOKUP($J8,SettlementRef!$G$6:$AI$100,AH$2,0))</f>
        <v>8.2057859999999998</v>
      </c>
      <c r="AI8" s="55">
        <f>IF(AH8="","",VLOOKUP($J8,SettlementRef!$G$6:$AI$100,AI$2,0))</f>
        <v>0.15120000000000003</v>
      </c>
      <c r="AJ8" s="55">
        <f>IF(AI8="","",VLOOKUP($J8,SettlementRef!$G$6:$AI$100,AJ$2,0))</f>
        <v>0.13910400000000001</v>
      </c>
      <c r="AK8" s="56">
        <f>IF(AJ8="","",VLOOKUP($J8,SettlementRef!$G$6:$AI$100,AK$2,0))</f>
        <v>0.12519360000000002</v>
      </c>
      <c r="AL8" s="60">
        <f>IF(AK8="","",VLOOKUP($J8,SettlementRef!$G$6:$AI$100,AL$2,0))</f>
        <v>21</v>
      </c>
      <c r="AM8" s="55">
        <f>IF(AL8="","",VLOOKUP($J8,SettlementRef!$G$6:$AI$100,AM$2,0))</f>
        <v>31</v>
      </c>
      <c r="AN8" s="55">
        <f>IF(AM8="","",VLOOKUP($J8,SettlementRef!$G$6:$AI$100,AN$2,0))</f>
        <v>5.1999999999999998E-2</v>
      </c>
      <c r="AO8" s="55">
        <f>IF(AN8="","",VLOOKUP($J8,SettlementRef!$G$6:$AI$100,AO$2,0))</f>
        <v>4.1313888000000007E-2</v>
      </c>
      <c r="AP8" s="56">
        <f>IF(AO8="","",VLOOKUP($J8,SettlementRef!$G$6:$AI$100,AP$2,0))</f>
        <v>6.0276900000000008E-2</v>
      </c>
      <c r="AQ8" s="65">
        <f>VLOOKUP($K8,SettlementRef!$G$5:$AI$22,AQ$2,0)</f>
        <v>50</v>
      </c>
      <c r="AR8" s="66">
        <f>VLOOKUP($K8,SettlementRef!$G$5:$AI$22,AR$2,0)</f>
        <v>83</v>
      </c>
      <c r="AS8" s="66">
        <f>VLOOKUP($K8,SettlementRef!$G$5:$AI$22,AS$2,0)</f>
        <v>91</v>
      </c>
      <c r="AT8" s="66">
        <f>VLOOKUP($K8,SettlementRef!$G$5:$AI$22,AT$2,0)</f>
        <v>45</v>
      </c>
      <c r="AU8" s="66">
        <f>VLOOKUP($K8,SettlementRef!$G$5:$AI$22,AU$2,0)</f>
        <v>67</v>
      </c>
      <c r="AV8" s="66">
        <f>VLOOKUP($K8,SettlementRef!$G$5:$AI$22,AV$2,0)</f>
        <v>0.54</v>
      </c>
      <c r="AW8" s="66">
        <f>VLOOKUP($K8,SettlementRef!$G$5:$AI$22,AW$2,0)</f>
        <v>29</v>
      </c>
      <c r="AX8" s="66">
        <f>VLOOKUP($K8,SettlementRef!$G$5:$AI$22,AX$2,0)</f>
        <v>31.900000000000002</v>
      </c>
      <c r="AY8" s="66">
        <f>VLOOKUP($K8,SettlementRef!$G$5:$AI$22,AY$2,0)</f>
        <v>10.633333333333335</v>
      </c>
      <c r="AZ8" s="67">
        <f>VLOOKUP($K8,SettlementRef!$G$5:$AI$22,AZ$2,0)</f>
        <v>0</v>
      </c>
      <c r="BA8" s="65">
        <f>VLOOKUP($K8,SettlementRef!$G$5:$AI$22,BA$2,0)</f>
        <v>56</v>
      </c>
      <c r="BB8" s="66">
        <f>VLOOKUP($K8,SettlementRef!$G$5:$AI$22,BB$2,0)</f>
        <v>67</v>
      </c>
      <c r="BC8" s="66">
        <f>VLOOKUP($K8,SettlementRef!$G$5:$AI$22,BC$2,0)</f>
        <v>0.245</v>
      </c>
      <c r="BD8" s="66">
        <f>VLOOKUP($K8,SettlementRef!$G$5:$AI$22,BD$2,0)</f>
        <v>0.59899999999999998</v>
      </c>
      <c r="BE8" s="66">
        <f>VLOOKUP($K8,SettlementRef!$G$5:$AI$22,BE$2,0)</f>
        <v>0.53910000000000002</v>
      </c>
      <c r="BF8" s="66">
        <f>VLOOKUP($K8,SettlementRef!$G$5:$AI$22,BF$2,0)</f>
        <v>0.18732000000000001</v>
      </c>
      <c r="BG8" s="66">
        <f>VLOOKUP($K8,SettlementRef!$G$5:$AI$22,BG$2,0)</f>
        <v>7.6513409999999995</v>
      </c>
      <c r="BH8" s="66">
        <f>VLOOKUP($K8,SettlementRef!$G$5:$AI$22,BH$2,0)</f>
        <v>0.1449</v>
      </c>
      <c r="BI8" s="66">
        <f>VLOOKUP($K8,SettlementRef!$G$5:$AI$22,BI$2,0)</f>
        <v>0.13330800000000001</v>
      </c>
      <c r="BJ8" s="67">
        <f>VLOOKUP($K8,SettlementRef!$G$5:$AI$22,BJ$2,0)</f>
        <v>0.11997720000000002</v>
      </c>
      <c r="BK8" s="65">
        <f>VLOOKUP($K8,SettlementRef!$G$5:$AI$22,BK$2,0)</f>
        <v>23</v>
      </c>
      <c r="BL8" s="66">
        <f>VLOOKUP($K8,SettlementRef!$G$5:$AI$22,BL$2,0)</f>
        <v>33</v>
      </c>
      <c r="BM8" s="66">
        <f>VLOOKUP($K8,SettlementRef!$G$5:$AI$22,BM$2,0)</f>
        <v>5.3999999999999999E-2</v>
      </c>
      <c r="BN8" s="66">
        <f>VLOOKUP($K8,SettlementRef!$G$5:$AI$22,BN$2,0)</f>
        <v>3.9592476000000015E-2</v>
      </c>
      <c r="BO8" s="67">
        <f>VLOOKUP($K8,SettlementRef!$G$5:$AI$22,BO$2,0)</f>
        <v>6.3688800000000018E-2</v>
      </c>
      <c r="BP8" s="74">
        <f>AQ8-R8</f>
        <v>-10</v>
      </c>
      <c r="BQ8" s="75">
        <f t="shared" si="0"/>
        <v>-7</v>
      </c>
      <c r="BR8" s="75">
        <f t="shared" si="1"/>
        <v>-2</v>
      </c>
      <c r="BS8" s="75">
        <f t="shared" si="1"/>
        <v>1</v>
      </c>
      <c r="BT8" s="75">
        <f t="shared" si="1"/>
        <v>6</v>
      </c>
      <c r="BU8" s="75">
        <f t="shared" si="1"/>
        <v>0.11000000000000004</v>
      </c>
      <c r="BV8" s="75">
        <f t="shared" si="1"/>
        <v>1</v>
      </c>
      <c r="BW8" s="75">
        <f t="shared" si="1"/>
        <v>1.0999999999999979</v>
      </c>
      <c r="BX8" s="75">
        <f t="shared" si="1"/>
        <v>0.36666666666666714</v>
      </c>
      <c r="BY8" s="76">
        <f t="shared" si="1"/>
        <v>0</v>
      </c>
      <c r="BZ8" s="83">
        <f t="shared" si="1"/>
        <v>-54</v>
      </c>
      <c r="CA8" s="84">
        <f t="shared" si="1"/>
        <v>4</v>
      </c>
      <c r="CB8" s="84">
        <f t="shared" si="2"/>
        <v>1.0000000000000009E-2</v>
      </c>
      <c r="CC8" s="84">
        <f t="shared" si="2"/>
        <v>-6.0000000000000053E-3</v>
      </c>
      <c r="CD8" s="84">
        <f t="shared" si="2"/>
        <v>-5.3999999999999604E-3</v>
      </c>
      <c r="CE8" s="84">
        <f t="shared" si="2"/>
        <v>1.0035000000000016E-2</v>
      </c>
      <c r="CF8" s="84">
        <f t="shared" si="2"/>
        <v>-0.5544450000000003</v>
      </c>
      <c r="CG8" s="84">
        <f t="shared" si="2"/>
        <v>-6.3000000000000278E-3</v>
      </c>
      <c r="CH8" s="84">
        <f t="shared" si="2"/>
        <v>-5.7959999999999956E-3</v>
      </c>
      <c r="CI8" s="85">
        <f t="shared" si="2"/>
        <v>-5.216399999999996E-3</v>
      </c>
      <c r="CJ8" s="92">
        <f t="shared" si="2"/>
        <v>2</v>
      </c>
      <c r="CK8" s="93">
        <f t="shared" si="2"/>
        <v>2</v>
      </c>
      <c r="CL8" s="93">
        <f t="shared" si="3"/>
        <v>2.0000000000000018E-3</v>
      </c>
      <c r="CM8" s="93">
        <f t="shared" si="3"/>
        <v>-1.7214119999999916E-3</v>
      </c>
      <c r="CN8" s="94">
        <f t="shared" si="3"/>
        <v>3.4119000000000094E-3</v>
      </c>
      <c r="CO8" s="101"/>
      <c r="CP8" s="102"/>
      <c r="CQ8" s="102"/>
      <c r="CR8" s="102"/>
      <c r="CS8" s="102"/>
      <c r="CT8" s="102"/>
      <c r="CU8" s="102"/>
      <c r="CV8" s="102"/>
      <c r="CW8" s="102"/>
      <c r="CX8" s="103"/>
      <c r="CY8" s="110"/>
      <c r="CZ8" s="111"/>
      <c r="DA8" s="111"/>
      <c r="DB8" s="111"/>
      <c r="DC8" s="111"/>
      <c r="DD8" s="111"/>
      <c r="DE8" s="111"/>
      <c r="DF8" s="111"/>
      <c r="DG8" s="111"/>
      <c r="DH8" s="112"/>
      <c r="DI8" s="119"/>
      <c r="DJ8" s="120"/>
      <c r="DK8" s="120"/>
      <c r="DL8" s="120"/>
      <c r="DM8" s="121"/>
      <c r="DN8" s="25"/>
      <c r="DO8" s="26"/>
      <c r="DP8" s="26"/>
      <c r="DQ8" s="26"/>
      <c r="DR8" s="26"/>
      <c r="DS8" s="26"/>
      <c r="DT8" s="26"/>
      <c r="DU8" s="26"/>
      <c r="DV8" s="26"/>
      <c r="DW8" s="27"/>
      <c r="DX8" s="33"/>
      <c r="DY8" s="33"/>
      <c r="DZ8" s="33"/>
      <c r="EA8" s="33"/>
      <c r="EB8" s="33"/>
      <c r="EC8" s="33"/>
      <c r="ED8" s="33"/>
      <c r="EE8" s="33"/>
      <c r="EF8" s="33"/>
      <c r="EG8" s="34"/>
      <c r="EH8" s="40"/>
      <c r="EI8" s="41"/>
      <c r="EJ8" s="41"/>
      <c r="EK8" s="41"/>
      <c r="EL8" s="42"/>
      <c r="EM8" s="16">
        <f>SUM(DN8:DW8)</f>
        <v>0</v>
      </c>
      <c r="EN8" s="16">
        <f>SUM(DX8:EG8)</f>
        <v>0</v>
      </c>
      <c r="EO8" s="16">
        <f>SUM(EH8:EL8)</f>
        <v>0</v>
      </c>
      <c r="EP8" s="17">
        <f>EM8+EN8-EO8</f>
        <v>0</v>
      </c>
      <c r="EQ8" s="17">
        <f>SUM(ET8:GO8)</f>
        <v>0</v>
      </c>
      <c r="ER8" s="17">
        <f>EQ8*EP8</f>
        <v>0</v>
      </c>
      <c r="ET8">
        <f>IF(ET$5&gt;=$L8,(IF(ET$5&lt;=$M8,'Sales Qty'!K8,0)),0)</f>
        <v>0</v>
      </c>
      <c r="EU8">
        <f>IF(EU$5&gt;=$L8,(IF(EU$5&lt;=$M8,'Sales Qty'!L8,0)),0)</f>
        <v>0</v>
      </c>
      <c r="EV8">
        <f>IF(EV$5&gt;=$L8,(IF(EV$5&lt;=$M8,'Sales Qty'!M8,0)),0)</f>
        <v>0</v>
      </c>
      <c r="EW8">
        <f>IF(EW$5&gt;=$L8,(IF(EW$5&lt;=$M8,'Sales Qty'!N8,0)),0)</f>
        <v>0</v>
      </c>
      <c r="EX8">
        <f>IF(EX$5&gt;=$L8,(IF(EX$5&lt;=$M8,'Sales Qty'!O8,0)),0)</f>
        <v>0</v>
      </c>
      <c r="EY8">
        <f>IF(EY$5&gt;=$L8,(IF(EY$5&lt;=$M8,'Sales Qty'!P8,0)),0)</f>
        <v>0</v>
      </c>
      <c r="EZ8">
        <f>IF(EZ$5&gt;=$L8,(IF(EZ$5&lt;=$M8,'Sales Qty'!Q8,0)),0)</f>
        <v>0</v>
      </c>
      <c r="FA8">
        <f>IF(FA$5&gt;=$L8,(IF(FA$5&lt;=$M8,'Sales Qty'!R8,0)),0)</f>
        <v>0</v>
      </c>
      <c r="FB8">
        <f>IF(FB$5&gt;=$L8,(IF(FB$5&lt;=$M8,'Sales Qty'!S8,0)),0)</f>
        <v>0</v>
      </c>
      <c r="FC8">
        <f>IF(FC$5&gt;=$L8,(IF(FC$5&lt;=$M8,'Sales Qty'!T8,0)),0)</f>
        <v>0</v>
      </c>
      <c r="FD8">
        <f>IF(FD$5&gt;=$L8,(IF(FD$5&lt;=$M8,'Sales Qty'!U8,0)),0)</f>
        <v>0</v>
      </c>
      <c r="FE8">
        <f>IF(FE$5&gt;=$L8,(IF(FE$5&lt;=$M8,'Sales Qty'!V8,0)),0)</f>
        <v>0</v>
      </c>
      <c r="FF8">
        <f>IF(FF$5&gt;=$L8,(IF(FF$5&lt;=$M8,'Sales Qty'!W8,0)),0)</f>
        <v>0</v>
      </c>
      <c r="FG8">
        <f>IF(FG$5&gt;=$L8,(IF(FG$5&lt;=$M8,'Sales Qty'!X8,0)),0)</f>
        <v>0</v>
      </c>
      <c r="FH8">
        <f>IF(FH$5&gt;=$L8,(IF(FH$5&lt;=$M8,'Sales Qty'!Y8,0)),0)</f>
        <v>0</v>
      </c>
      <c r="FI8">
        <f>IF(FI$5&gt;=$L8,(IF(FI$5&lt;=$M8,'Sales Qty'!Z8,0)),0)</f>
        <v>0</v>
      </c>
      <c r="FJ8">
        <f>IF(FJ$5&gt;=$L8,(IF(FJ$5&lt;=$M8,'Sales Qty'!AA8,0)),0)</f>
        <v>0</v>
      </c>
      <c r="FK8">
        <f>IF(FK$5&gt;=$L8,(IF(FK$5&lt;=$M8,'Sales Qty'!AB8,0)),0)</f>
        <v>0</v>
      </c>
      <c r="FL8">
        <f>IF(FL$5&gt;=$L8,(IF(FL$5&lt;=$M8,'Sales Qty'!AC8,0)),0)</f>
        <v>0</v>
      </c>
      <c r="FM8">
        <f>IF(FM$5&gt;=$L8,(IF(FM$5&lt;=$M8,'Sales Qty'!AD8,0)),0)</f>
        <v>0</v>
      </c>
      <c r="FN8">
        <f>IF(FN$5&gt;=$L8,(IF(FN$5&lt;=$M8,'Sales Qty'!AE8,0)),0)</f>
        <v>0</v>
      </c>
      <c r="FO8">
        <f>IF(FO$5&gt;=$L8,(IF(FO$5&lt;=$M8,'Sales Qty'!AF8,0)),0)</f>
        <v>0</v>
      </c>
      <c r="FP8">
        <f>IF(FP$5&gt;=$L8,(IF(FP$5&lt;=$M8,'Sales Qty'!AG8,0)),0)</f>
        <v>0</v>
      </c>
      <c r="FQ8">
        <f>IF(FQ$5&gt;=$L8,(IF(FQ$5&lt;=$M8,'Sales Qty'!AH8,0)),0)</f>
        <v>0</v>
      </c>
      <c r="FR8">
        <f>IF(FR$5&gt;=$L8,(IF(FR$5&lt;=$M8,'Sales Qty'!AI8,0)),0)</f>
        <v>0</v>
      </c>
      <c r="FS8">
        <f>IF(FS$5&gt;=$L8,(IF(FS$5&lt;=$M8,'Sales Qty'!AJ8,0)),0)</f>
        <v>0</v>
      </c>
      <c r="FT8">
        <f>IF(FT$5&gt;=$L8,(IF(FT$5&lt;=$M8,'Sales Qty'!AK8,0)),0)</f>
        <v>0</v>
      </c>
      <c r="FU8">
        <f>IF(FU$5&gt;=$L8,(IF(FU$5&lt;=$M8,'Sales Qty'!AL8,0)),0)</f>
        <v>0</v>
      </c>
      <c r="FV8">
        <f>IF(FV$5&gt;=$L8,(IF(FV$5&lt;=$M8,'Sales Qty'!AM8,0)),0)</f>
        <v>0</v>
      </c>
      <c r="FW8">
        <f>IF(FW$5&gt;=$L8,(IF(FW$5&lt;=$M8,'Sales Qty'!AN8,0)),0)</f>
        <v>0</v>
      </c>
      <c r="FX8">
        <f>IF(FX$5&gt;=$L8,(IF(FX$5&lt;=$M8,'Sales Qty'!AO8,0)),0)</f>
        <v>0</v>
      </c>
      <c r="FY8">
        <f>IF(FY$5&gt;=$L8,(IF(FY$5&lt;=$M8,'Sales Qty'!AP8,0)),0)</f>
        <v>0</v>
      </c>
      <c r="FZ8">
        <f>IF(FZ$5&gt;=$L8,(IF(FZ$5&lt;=$M8,'Sales Qty'!AQ8,0)),0)</f>
        <v>0</v>
      </c>
      <c r="GA8">
        <f>IF(GA$5&gt;=$L8,(IF(GA$5&lt;=$M8,'Sales Qty'!AR8,0)),0)</f>
        <v>0</v>
      </c>
      <c r="GB8">
        <f>IF(GB$5&gt;=$L8,(IF(GB$5&lt;=$M8,'Sales Qty'!AS8,0)),0)</f>
        <v>0</v>
      </c>
      <c r="GC8">
        <f>IF(GC$5&gt;=$L8,(IF(GC$5&lt;=$M8,'Sales Qty'!AT8,0)),0)</f>
        <v>0</v>
      </c>
      <c r="GD8">
        <f>IF(GD$5&gt;=$L8,(IF(GD$5&lt;=$M8,'Sales Qty'!AU8,0)),0)</f>
        <v>0</v>
      </c>
      <c r="GE8">
        <f>IF(GE$5&gt;=$L8,(IF(GE$5&lt;=$M8,'Sales Qty'!AV8,0)),0)</f>
        <v>0</v>
      </c>
      <c r="GF8">
        <f>IF(GF$5&gt;=$L8,(IF(GF$5&lt;=$M8,'Sales Qty'!AW8,0)),0)</f>
        <v>0</v>
      </c>
      <c r="GG8">
        <f>IF(GG$5&gt;=$L8,(IF(GG$5&lt;=$M8,'Sales Qty'!AX8,0)),0)</f>
        <v>0</v>
      </c>
      <c r="GH8">
        <f>IF(GH$5&gt;=$L8,(IF(GH$5&lt;=$M8,'Sales Qty'!AY8,0)),0)</f>
        <v>0</v>
      </c>
      <c r="GI8">
        <f>IF(GI$5&gt;=$L8,(IF(GI$5&lt;=$M8,'Sales Qty'!AZ8,0)),0)</f>
        <v>0</v>
      </c>
      <c r="GJ8">
        <f>IF(GJ$5&gt;=$L8,(IF(GJ$5&lt;=$M8,'Sales Qty'!BA8,0)),0)</f>
        <v>0</v>
      </c>
      <c r="GK8">
        <f>IF(GK$5&gt;=$L8,(IF(GK$5&lt;=$M8,'Sales Qty'!BB8,0)),0)</f>
        <v>0</v>
      </c>
      <c r="GL8">
        <f>IF(GL$5&gt;=$L8,(IF(GL$5&lt;=$M8,'Sales Qty'!BC8,0)),0)</f>
        <v>0</v>
      </c>
      <c r="GM8">
        <f>IF(GM$5&gt;=$L8,(IF(GM$5&lt;=$M8,'Sales Qty'!BD8,0)),0)</f>
        <v>0</v>
      </c>
      <c r="GN8">
        <f>IF(GN$5&gt;=$L8,(IF(GN$5&lt;=$M8,'Sales Qty'!BE8,0)),0)</f>
        <v>0</v>
      </c>
      <c r="GO8">
        <f>IF(GO$5&gt;=$L8,(IF(GO$5&lt;=$M8,'Sales Qty'!BF8,0)),0)</f>
        <v>0</v>
      </c>
    </row>
    <row r="9" spans="1:197" x14ac:dyDescent="0.25">
      <c r="A9" t="s">
        <v>80</v>
      </c>
      <c r="C9" t="s">
        <v>215</v>
      </c>
      <c r="D9" t="s">
        <v>45</v>
      </c>
      <c r="E9" s="131" t="s">
        <v>221</v>
      </c>
      <c r="F9" t="s">
        <v>48</v>
      </c>
      <c r="G9" t="s">
        <v>42</v>
      </c>
      <c r="H9" s="6">
        <v>36994</v>
      </c>
      <c r="I9" s="6">
        <v>41640</v>
      </c>
      <c r="J9" s="19" t="s">
        <v>78</v>
      </c>
      <c r="K9" s="19" t="s">
        <v>79</v>
      </c>
      <c r="L9" s="20"/>
      <c r="M9" s="20"/>
      <c r="N9">
        <f>SUM(ET9:GO9)</f>
        <v>0</v>
      </c>
      <c r="O9" s="21">
        <f>EP9</f>
        <v>0</v>
      </c>
      <c r="P9" s="11">
        <f>O9*N9</f>
        <v>0</v>
      </c>
      <c r="R9" s="54">
        <f>IF(J9="","",VLOOKUP($J9,SettlementRef!$G$6:$AI$100,R$2,0))</f>
        <v>60</v>
      </c>
      <c r="S9" s="55">
        <f>IF(R9="","",VLOOKUP($J9,SettlementRef!$G$6:$AI$100,S$2,0))</f>
        <v>90</v>
      </c>
      <c r="T9" s="55">
        <f>IF(S9="","",VLOOKUP($J9,SettlementRef!$G$6:$AI$100,T$2,0))</f>
        <v>93</v>
      </c>
      <c r="U9" s="55">
        <f>IF(T9="","",VLOOKUP($J9,SettlementRef!$G$6:$AI$100,U$2,0))</f>
        <v>44</v>
      </c>
      <c r="V9" s="55">
        <f>IF(U9="","",VLOOKUP($J9,SettlementRef!$G$6:$AI$100,V$2,0))</f>
        <v>61</v>
      </c>
      <c r="W9" s="55">
        <f>IF(V9="","",VLOOKUP($J9,SettlementRef!$G$6:$AI$100,W$2,0))</f>
        <v>0.43</v>
      </c>
      <c r="X9" s="55">
        <f>IF(W9="","",VLOOKUP($J9,SettlementRef!$G$6:$AI$100,X$2,0))</f>
        <v>28</v>
      </c>
      <c r="Y9" s="55">
        <f>IF(X9="","",VLOOKUP($J9,SettlementRef!$G$6:$AI$100,Y$2,0))</f>
        <v>30.800000000000004</v>
      </c>
      <c r="Z9" s="55">
        <f>IF(Y9="","",VLOOKUP($J9,SettlementRef!$G$6:$AI$100,Z$2,0))</f>
        <v>10.266666666666667</v>
      </c>
      <c r="AA9" s="56">
        <f>IF(Z9="","",VLOOKUP($J9,SettlementRef!$G$6:$AI$100,AA$2,0))</f>
        <v>0</v>
      </c>
      <c r="AB9" s="60">
        <f>IF(AA9="","",VLOOKUP($J9,SettlementRef!$G$6:$AI$100,AB$2,0))</f>
        <v>110</v>
      </c>
      <c r="AC9" s="55">
        <f>IF(AB9="","",VLOOKUP($J9,SettlementRef!$G$6:$AI$100,AC$2,0))</f>
        <v>63</v>
      </c>
      <c r="AD9" s="55">
        <f>IF(AC9="","",VLOOKUP($J9,SettlementRef!$G$6:$AI$100,AD$2,0))</f>
        <v>0.23499999999999999</v>
      </c>
      <c r="AE9" s="55">
        <f>IF(AD9="","",VLOOKUP($J9,SettlementRef!$G$6:$AI$100,AE$2,0))</f>
        <v>0.60499999999999998</v>
      </c>
      <c r="AF9" s="55">
        <f>IF(AE9="","",VLOOKUP($J9,SettlementRef!$G$6:$AI$100,AF$2,0))</f>
        <v>0.54449999999999998</v>
      </c>
      <c r="AG9" s="55">
        <f>IF(AF9="","",VLOOKUP($J9,SettlementRef!$G$6:$AI$100,AG$2,0))</f>
        <v>0.177285</v>
      </c>
      <c r="AH9" s="55">
        <f>IF(AG9="","",VLOOKUP($J9,SettlementRef!$G$6:$AI$100,AH$2,0))</f>
        <v>8.2057859999999998</v>
      </c>
      <c r="AI9" s="55">
        <f>IF(AH9="","",VLOOKUP($J9,SettlementRef!$G$6:$AI$100,AI$2,0))</f>
        <v>0.15120000000000003</v>
      </c>
      <c r="AJ9" s="55">
        <f>IF(AI9="","",VLOOKUP($J9,SettlementRef!$G$6:$AI$100,AJ$2,0))</f>
        <v>0.13910400000000001</v>
      </c>
      <c r="AK9" s="56">
        <f>IF(AJ9="","",VLOOKUP($J9,SettlementRef!$G$6:$AI$100,AK$2,0))</f>
        <v>0.12519360000000002</v>
      </c>
      <c r="AL9" s="60">
        <f>IF(AK9="","",VLOOKUP($J9,SettlementRef!$G$6:$AI$100,AL$2,0))</f>
        <v>21</v>
      </c>
      <c r="AM9" s="55">
        <f>IF(AL9="","",VLOOKUP($J9,SettlementRef!$G$6:$AI$100,AM$2,0))</f>
        <v>31</v>
      </c>
      <c r="AN9" s="55">
        <f>IF(AM9="","",VLOOKUP($J9,SettlementRef!$G$6:$AI$100,AN$2,0))</f>
        <v>5.1999999999999998E-2</v>
      </c>
      <c r="AO9" s="55">
        <f>IF(AN9="","",VLOOKUP($J9,SettlementRef!$G$6:$AI$100,AO$2,0))</f>
        <v>4.1313888000000007E-2</v>
      </c>
      <c r="AP9" s="56">
        <f>IF(AO9="","",VLOOKUP($J9,SettlementRef!$G$6:$AI$100,AP$2,0))</f>
        <v>6.0276900000000008E-2</v>
      </c>
      <c r="AQ9" s="65">
        <f>VLOOKUP($K9,SettlementRef!$G$5:$AI$22,AQ$2,0)</f>
        <v>50</v>
      </c>
      <c r="AR9" s="66">
        <f>VLOOKUP($K9,SettlementRef!$G$5:$AI$22,AR$2,0)</f>
        <v>83</v>
      </c>
      <c r="AS9" s="66">
        <f>VLOOKUP($K9,SettlementRef!$G$5:$AI$22,AS$2,0)</f>
        <v>91</v>
      </c>
      <c r="AT9" s="66">
        <f>VLOOKUP($K9,SettlementRef!$G$5:$AI$22,AT$2,0)</f>
        <v>45</v>
      </c>
      <c r="AU9" s="66">
        <f>VLOOKUP($K9,SettlementRef!$G$5:$AI$22,AU$2,0)</f>
        <v>67</v>
      </c>
      <c r="AV9" s="66">
        <f>VLOOKUP($K9,SettlementRef!$G$5:$AI$22,AV$2,0)</f>
        <v>0.54</v>
      </c>
      <c r="AW9" s="66">
        <f>VLOOKUP($K9,SettlementRef!$G$5:$AI$22,AW$2,0)</f>
        <v>29</v>
      </c>
      <c r="AX9" s="66">
        <f>VLOOKUP($K9,SettlementRef!$G$5:$AI$22,AX$2,0)</f>
        <v>31.900000000000002</v>
      </c>
      <c r="AY9" s="66">
        <f>VLOOKUP($K9,SettlementRef!$G$5:$AI$22,AY$2,0)</f>
        <v>10.633333333333335</v>
      </c>
      <c r="AZ9" s="67">
        <f>VLOOKUP($K9,SettlementRef!$G$5:$AI$22,AZ$2,0)</f>
        <v>0</v>
      </c>
      <c r="BA9" s="65">
        <f>VLOOKUP($K9,SettlementRef!$G$5:$AI$22,BA$2,0)</f>
        <v>56</v>
      </c>
      <c r="BB9" s="66">
        <f>VLOOKUP($K9,SettlementRef!$G$5:$AI$22,BB$2,0)</f>
        <v>67</v>
      </c>
      <c r="BC9" s="66">
        <f>VLOOKUP($K9,SettlementRef!$G$5:$AI$22,BC$2,0)</f>
        <v>0.245</v>
      </c>
      <c r="BD9" s="66">
        <f>VLOOKUP($K9,SettlementRef!$G$5:$AI$22,BD$2,0)</f>
        <v>0.59899999999999998</v>
      </c>
      <c r="BE9" s="66">
        <f>VLOOKUP($K9,SettlementRef!$G$5:$AI$22,BE$2,0)</f>
        <v>0.53910000000000002</v>
      </c>
      <c r="BF9" s="66">
        <f>VLOOKUP($K9,SettlementRef!$G$5:$AI$22,BF$2,0)</f>
        <v>0.18732000000000001</v>
      </c>
      <c r="BG9" s="66">
        <f>VLOOKUP($K9,SettlementRef!$G$5:$AI$22,BG$2,0)</f>
        <v>7.6513409999999995</v>
      </c>
      <c r="BH9" s="66">
        <f>VLOOKUP($K9,SettlementRef!$G$5:$AI$22,BH$2,0)</f>
        <v>0.1449</v>
      </c>
      <c r="BI9" s="66">
        <f>VLOOKUP($K9,SettlementRef!$G$5:$AI$22,BI$2,0)</f>
        <v>0.13330800000000001</v>
      </c>
      <c r="BJ9" s="67">
        <f>VLOOKUP($K9,SettlementRef!$G$5:$AI$22,BJ$2,0)</f>
        <v>0.11997720000000002</v>
      </c>
      <c r="BK9" s="65">
        <f>VLOOKUP($K9,SettlementRef!$G$5:$AI$22,BK$2,0)</f>
        <v>23</v>
      </c>
      <c r="BL9" s="66">
        <f>VLOOKUP($K9,SettlementRef!$G$5:$AI$22,BL$2,0)</f>
        <v>33</v>
      </c>
      <c r="BM9" s="66">
        <f>VLOOKUP($K9,SettlementRef!$G$5:$AI$22,BM$2,0)</f>
        <v>5.3999999999999999E-2</v>
      </c>
      <c r="BN9" s="66">
        <f>VLOOKUP($K9,SettlementRef!$G$5:$AI$22,BN$2,0)</f>
        <v>3.9592476000000015E-2</v>
      </c>
      <c r="BO9" s="67">
        <f>VLOOKUP($K9,SettlementRef!$G$5:$AI$22,BO$2,0)</f>
        <v>6.3688800000000018E-2</v>
      </c>
      <c r="BP9" s="74">
        <f>AQ9-R9</f>
        <v>-10</v>
      </c>
      <c r="BQ9" s="75">
        <f t="shared" si="0"/>
        <v>-7</v>
      </c>
      <c r="BR9" s="75">
        <f t="shared" si="1"/>
        <v>-2</v>
      </c>
      <c r="BS9" s="75">
        <f t="shared" si="1"/>
        <v>1</v>
      </c>
      <c r="BT9" s="75">
        <f t="shared" si="1"/>
        <v>6</v>
      </c>
      <c r="BU9" s="75">
        <f t="shared" si="1"/>
        <v>0.11000000000000004</v>
      </c>
      <c r="BV9" s="75">
        <f t="shared" si="1"/>
        <v>1</v>
      </c>
      <c r="BW9" s="75">
        <f t="shared" si="1"/>
        <v>1.0999999999999979</v>
      </c>
      <c r="BX9" s="75">
        <f t="shared" si="1"/>
        <v>0.36666666666666714</v>
      </c>
      <c r="BY9" s="76">
        <f t="shared" si="1"/>
        <v>0</v>
      </c>
      <c r="BZ9" s="83">
        <f t="shared" si="1"/>
        <v>-54</v>
      </c>
      <c r="CA9" s="84">
        <f t="shared" si="1"/>
        <v>4</v>
      </c>
      <c r="CB9" s="84">
        <f t="shared" si="2"/>
        <v>1.0000000000000009E-2</v>
      </c>
      <c r="CC9" s="84">
        <f t="shared" si="2"/>
        <v>-6.0000000000000053E-3</v>
      </c>
      <c r="CD9" s="84">
        <f t="shared" si="2"/>
        <v>-5.3999999999999604E-3</v>
      </c>
      <c r="CE9" s="84">
        <f t="shared" si="2"/>
        <v>1.0035000000000016E-2</v>
      </c>
      <c r="CF9" s="84">
        <f t="shared" si="2"/>
        <v>-0.5544450000000003</v>
      </c>
      <c r="CG9" s="84">
        <f t="shared" si="2"/>
        <v>-6.3000000000000278E-3</v>
      </c>
      <c r="CH9" s="84">
        <f t="shared" si="2"/>
        <v>-5.7959999999999956E-3</v>
      </c>
      <c r="CI9" s="85">
        <f t="shared" si="2"/>
        <v>-5.216399999999996E-3</v>
      </c>
      <c r="CJ9" s="92">
        <f t="shared" si="2"/>
        <v>2</v>
      </c>
      <c r="CK9" s="93">
        <f t="shared" si="2"/>
        <v>2</v>
      </c>
      <c r="CL9" s="93">
        <f t="shared" si="3"/>
        <v>2.0000000000000018E-3</v>
      </c>
      <c r="CM9" s="93">
        <f t="shared" si="3"/>
        <v>-1.7214119999999916E-3</v>
      </c>
      <c r="CN9" s="94">
        <f t="shared" si="3"/>
        <v>3.4119000000000094E-3</v>
      </c>
      <c r="CO9" s="101"/>
      <c r="CP9" s="102"/>
      <c r="CQ9" s="102"/>
      <c r="CR9" s="102"/>
      <c r="CS9" s="102"/>
      <c r="CT9" s="102"/>
      <c r="CU9" s="102"/>
      <c r="CV9" s="102"/>
      <c r="CW9" s="102"/>
      <c r="CX9" s="103"/>
      <c r="CY9" s="110"/>
      <c r="CZ9" s="111"/>
      <c r="DA9" s="111"/>
      <c r="DB9" s="111"/>
      <c r="DC9" s="111"/>
      <c r="DD9" s="111"/>
      <c r="DE9" s="111"/>
      <c r="DF9" s="111"/>
      <c r="DG9" s="111"/>
      <c r="DH9" s="112"/>
      <c r="DI9" s="119"/>
      <c r="DJ9" s="120"/>
      <c r="DK9" s="120"/>
      <c r="DL9" s="120"/>
      <c r="DM9" s="121"/>
      <c r="DN9" s="25"/>
      <c r="DO9" s="26"/>
      <c r="DP9" s="26"/>
      <c r="DQ9" s="26"/>
      <c r="DR9" s="26"/>
      <c r="DS9" s="26"/>
      <c r="DT9" s="26"/>
      <c r="DU9" s="26"/>
      <c r="DV9" s="26"/>
      <c r="DW9" s="27"/>
      <c r="DX9" s="33"/>
      <c r="DY9" s="33"/>
      <c r="DZ9" s="33"/>
      <c r="EA9" s="33"/>
      <c r="EB9" s="33"/>
      <c r="EC9" s="33"/>
      <c r="ED9" s="33"/>
      <c r="EE9" s="33"/>
      <c r="EF9" s="33"/>
      <c r="EG9" s="34"/>
      <c r="EH9" s="40"/>
      <c r="EI9" s="41"/>
      <c r="EJ9" s="41"/>
      <c r="EK9" s="41"/>
      <c r="EL9" s="42"/>
      <c r="EM9" s="16">
        <f>SUM(DN9:DW9)</f>
        <v>0</v>
      </c>
      <c r="EN9" s="16">
        <f>SUM(DX9:EG9)</f>
        <v>0</v>
      </c>
      <c r="EO9" s="16">
        <f>SUM(EH9:EL9)</f>
        <v>0</v>
      </c>
      <c r="EP9" s="17">
        <f>EM9+EN9-EO9</f>
        <v>0</v>
      </c>
      <c r="EQ9" s="17">
        <f>SUM(ET9:GO9)</f>
        <v>0</v>
      </c>
      <c r="ER9" s="17">
        <f>EQ9*EP9</f>
        <v>0</v>
      </c>
      <c r="ET9">
        <f>IF(ET$5&gt;=$L9,(IF(ET$5&lt;=$M9,'Sales Qty'!K9,0)),0)</f>
        <v>0</v>
      </c>
      <c r="EU9">
        <f>IF(EU$5&gt;=$L9,(IF(EU$5&lt;=$M9,'Sales Qty'!L9,0)),0)</f>
        <v>0</v>
      </c>
      <c r="EV9">
        <f>IF(EV$5&gt;=$L9,(IF(EV$5&lt;=$M9,'Sales Qty'!M9,0)),0)</f>
        <v>0</v>
      </c>
      <c r="EW9">
        <f>IF(EW$5&gt;=$L9,(IF(EW$5&lt;=$M9,'Sales Qty'!N9,0)),0)</f>
        <v>0</v>
      </c>
      <c r="EX9">
        <f>IF(EX$5&gt;=$L9,(IF(EX$5&lt;=$M9,'Sales Qty'!O9,0)),0)</f>
        <v>0</v>
      </c>
      <c r="EY9">
        <f>IF(EY$5&gt;=$L9,(IF(EY$5&lt;=$M9,'Sales Qty'!P9,0)),0)</f>
        <v>0</v>
      </c>
      <c r="EZ9">
        <f>IF(EZ$5&gt;=$L9,(IF(EZ$5&lt;=$M9,'Sales Qty'!Q9,0)),0)</f>
        <v>0</v>
      </c>
      <c r="FA9">
        <f>IF(FA$5&gt;=$L9,(IF(FA$5&lt;=$M9,'Sales Qty'!R9,0)),0)</f>
        <v>0</v>
      </c>
      <c r="FB9">
        <f>IF(FB$5&gt;=$L9,(IF(FB$5&lt;=$M9,'Sales Qty'!S9,0)),0)</f>
        <v>0</v>
      </c>
      <c r="FC9">
        <f>IF(FC$5&gt;=$L9,(IF(FC$5&lt;=$M9,'Sales Qty'!T9,0)),0)</f>
        <v>0</v>
      </c>
      <c r="FD9">
        <f>IF(FD$5&gt;=$L9,(IF(FD$5&lt;=$M9,'Sales Qty'!U9,0)),0)</f>
        <v>0</v>
      </c>
      <c r="FE9">
        <f>IF(FE$5&gt;=$L9,(IF(FE$5&lt;=$M9,'Sales Qty'!V9,0)),0)</f>
        <v>0</v>
      </c>
      <c r="FF9">
        <f>IF(FF$5&gt;=$L9,(IF(FF$5&lt;=$M9,'Sales Qty'!W9,0)),0)</f>
        <v>0</v>
      </c>
      <c r="FG9">
        <f>IF(FG$5&gt;=$L9,(IF(FG$5&lt;=$M9,'Sales Qty'!X9,0)),0)</f>
        <v>0</v>
      </c>
      <c r="FH9">
        <f>IF(FH$5&gt;=$L9,(IF(FH$5&lt;=$M9,'Sales Qty'!Y9,0)),0)</f>
        <v>0</v>
      </c>
      <c r="FI9">
        <f>IF(FI$5&gt;=$L9,(IF(FI$5&lt;=$M9,'Sales Qty'!Z9,0)),0)</f>
        <v>0</v>
      </c>
      <c r="FJ9">
        <f>IF(FJ$5&gt;=$L9,(IF(FJ$5&lt;=$M9,'Sales Qty'!AA9,0)),0)</f>
        <v>0</v>
      </c>
      <c r="FK9">
        <f>IF(FK$5&gt;=$L9,(IF(FK$5&lt;=$M9,'Sales Qty'!AB9,0)),0)</f>
        <v>0</v>
      </c>
      <c r="FL9">
        <f>IF(FL$5&gt;=$L9,(IF(FL$5&lt;=$M9,'Sales Qty'!AC9,0)),0)</f>
        <v>0</v>
      </c>
      <c r="FM9">
        <f>IF(FM$5&gt;=$L9,(IF(FM$5&lt;=$M9,'Sales Qty'!AD9,0)),0)</f>
        <v>0</v>
      </c>
      <c r="FN9">
        <f>IF(FN$5&gt;=$L9,(IF(FN$5&lt;=$M9,'Sales Qty'!AE9,0)),0)</f>
        <v>0</v>
      </c>
      <c r="FO9">
        <f>IF(FO$5&gt;=$L9,(IF(FO$5&lt;=$M9,'Sales Qty'!AF9,0)),0)</f>
        <v>0</v>
      </c>
      <c r="FP9">
        <f>IF(FP$5&gt;=$L9,(IF(FP$5&lt;=$M9,'Sales Qty'!AG9,0)),0)</f>
        <v>0</v>
      </c>
      <c r="FQ9">
        <f>IF(FQ$5&gt;=$L9,(IF(FQ$5&lt;=$M9,'Sales Qty'!AH9,0)),0)</f>
        <v>0</v>
      </c>
      <c r="FR9">
        <f>IF(FR$5&gt;=$L9,(IF(FR$5&lt;=$M9,'Sales Qty'!AI9,0)),0)</f>
        <v>0</v>
      </c>
      <c r="FS9">
        <f>IF(FS$5&gt;=$L9,(IF(FS$5&lt;=$M9,'Sales Qty'!AJ9,0)),0)</f>
        <v>0</v>
      </c>
      <c r="FT9">
        <f>IF(FT$5&gt;=$L9,(IF(FT$5&lt;=$M9,'Sales Qty'!AK9,0)),0)</f>
        <v>0</v>
      </c>
      <c r="FU9">
        <f>IF(FU$5&gt;=$L9,(IF(FU$5&lt;=$M9,'Sales Qty'!AL9,0)),0)</f>
        <v>0</v>
      </c>
      <c r="FV9">
        <f>IF(FV$5&gt;=$L9,(IF(FV$5&lt;=$M9,'Sales Qty'!AM9,0)),0)</f>
        <v>0</v>
      </c>
      <c r="FW9">
        <f>IF(FW$5&gt;=$L9,(IF(FW$5&lt;=$M9,'Sales Qty'!AN9,0)),0)</f>
        <v>0</v>
      </c>
      <c r="FX9">
        <f>IF(FX$5&gt;=$L9,(IF(FX$5&lt;=$M9,'Sales Qty'!AO9,0)),0)</f>
        <v>0</v>
      </c>
      <c r="FY9">
        <f>IF(FY$5&gt;=$L9,(IF(FY$5&lt;=$M9,'Sales Qty'!AP9,0)),0)</f>
        <v>0</v>
      </c>
      <c r="FZ9">
        <f>IF(FZ$5&gt;=$L9,(IF(FZ$5&lt;=$M9,'Sales Qty'!AQ9,0)),0)</f>
        <v>0</v>
      </c>
      <c r="GA9">
        <f>IF(GA$5&gt;=$L9,(IF(GA$5&lt;=$M9,'Sales Qty'!AR9,0)),0)</f>
        <v>0</v>
      </c>
      <c r="GB9">
        <f>IF(GB$5&gt;=$L9,(IF(GB$5&lt;=$M9,'Sales Qty'!AS9,0)),0)</f>
        <v>0</v>
      </c>
      <c r="GC9">
        <f>IF(GC$5&gt;=$L9,(IF(GC$5&lt;=$M9,'Sales Qty'!AT9,0)),0)</f>
        <v>0</v>
      </c>
      <c r="GD9">
        <f>IF(GD$5&gt;=$L9,(IF(GD$5&lt;=$M9,'Sales Qty'!AU9,0)),0)</f>
        <v>0</v>
      </c>
      <c r="GE9">
        <f>IF(GE$5&gt;=$L9,(IF(GE$5&lt;=$M9,'Sales Qty'!AV9,0)),0)</f>
        <v>0</v>
      </c>
      <c r="GF9">
        <f>IF(GF$5&gt;=$L9,(IF(GF$5&lt;=$M9,'Sales Qty'!AW9,0)),0)</f>
        <v>0</v>
      </c>
      <c r="GG9">
        <f>IF(GG$5&gt;=$L9,(IF(GG$5&lt;=$M9,'Sales Qty'!AX9,0)),0)</f>
        <v>0</v>
      </c>
      <c r="GH9">
        <f>IF(GH$5&gt;=$L9,(IF(GH$5&lt;=$M9,'Sales Qty'!AY9,0)),0)</f>
        <v>0</v>
      </c>
      <c r="GI9">
        <f>IF(GI$5&gt;=$L9,(IF(GI$5&lt;=$M9,'Sales Qty'!AZ9,0)),0)</f>
        <v>0</v>
      </c>
      <c r="GJ9">
        <f>IF(GJ$5&gt;=$L9,(IF(GJ$5&lt;=$M9,'Sales Qty'!BA9,0)),0)</f>
        <v>0</v>
      </c>
      <c r="GK9">
        <f>IF(GK$5&gt;=$L9,(IF(GK$5&lt;=$M9,'Sales Qty'!BB9,0)),0)</f>
        <v>0</v>
      </c>
      <c r="GL9">
        <f>IF(GL$5&gt;=$L9,(IF(GL$5&lt;=$M9,'Sales Qty'!BC9,0)),0)</f>
        <v>0</v>
      </c>
      <c r="GM9">
        <f>IF(GM$5&gt;=$L9,(IF(GM$5&lt;=$M9,'Sales Qty'!BD9,0)),0)</f>
        <v>0</v>
      </c>
      <c r="GN9">
        <f>IF(GN$5&gt;=$L9,(IF(GN$5&lt;=$M9,'Sales Qty'!BE9,0)),0)</f>
        <v>0</v>
      </c>
      <c r="GO9">
        <f>IF(GO$5&gt;=$L9,(IF(GO$5&lt;=$M9,'Sales Qty'!BF9,0)),0)</f>
        <v>0</v>
      </c>
    </row>
    <row r="10" spans="1:197" ht="15.75" thickBot="1" x14ac:dyDescent="0.3">
      <c r="A10" t="s">
        <v>81</v>
      </c>
      <c r="C10" t="s">
        <v>216</v>
      </c>
      <c r="D10" t="s">
        <v>46</v>
      </c>
      <c r="E10" s="131" t="s">
        <v>222</v>
      </c>
      <c r="F10" t="s">
        <v>49</v>
      </c>
      <c r="G10" t="s">
        <v>43</v>
      </c>
      <c r="H10" s="6">
        <v>36994</v>
      </c>
      <c r="I10" s="6">
        <v>41640</v>
      </c>
      <c r="J10" s="19" t="s">
        <v>78</v>
      </c>
      <c r="K10" s="19" t="s">
        <v>80</v>
      </c>
      <c r="L10" s="20"/>
      <c r="M10" s="20"/>
      <c r="N10">
        <f>SUM(ET10:GO10)</f>
        <v>0</v>
      </c>
      <c r="O10" s="21">
        <f>EP10</f>
        <v>0</v>
      </c>
      <c r="P10" s="11">
        <f>O10*N10</f>
        <v>0</v>
      </c>
      <c r="R10" s="57">
        <f>IF(J10="","",VLOOKUP($J10,SettlementRef!$G$6:$AI$100,R$2,0))</f>
        <v>60</v>
      </c>
      <c r="S10" s="58">
        <f>IF(R10="","",VLOOKUP($J10,SettlementRef!$G$6:$AI$100,S$2,0))</f>
        <v>90</v>
      </c>
      <c r="T10" s="58">
        <f>IF(S10="","",VLOOKUP($J10,SettlementRef!$G$6:$AI$100,T$2,0))</f>
        <v>93</v>
      </c>
      <c r="U10" s="58">
        <f>IF(T10="","",VLOOKUP($J10,SettlementRef!$G$6:$AI$100,U$2,0))</f>
        <v>44</v>
      </c>
      <c r="V10" s="58">
        <f>IF(U10="","",VLOOKUP($J10,SettlementRef!$G$6:$AI$100,V$2,0))</f>
        <v>61</v>
      </c>
      <c r="W10" s="58">
        <f>IF(V10="","",VLOOKUP($J10,SettlementRef!$G$6:$AI$100,W$2,0))</f>
        <v>0.43</v>
      </c>
      <c r="X10" s="58">
        <f>IF(W10="","",VLOOKUP($J10,SettlementRef!$G$6:$AI$100,X$2,0))</f>
        <v>28</v>
      </c>
      <c r="Y10" s="58">
        <f>IF(X10="","",VLOOKUP($J10,SettlementRef!$G$6:$AI$100,Y$2,0))</f>
        <v>30.800000000000004</v>
      </c>
      <c r="Z10" s="58">
        <f>IF(Y10="","",VLOOKUP($J10,SettlementRef!$G$6:$AI$100,Z$2,0))</f>
        <v>10.266666666666667</v>
      </c>
      <c r="AA10" s="59">
        <f>IF(Z10="","",VLOOKUP($J10,SettlementRef!$G$6:$AI$100,AA$2,0))</f>
        <v>0</v>
      </c>
      <c r="AB10" s="61">
        <f>IF(AA10="","",VLOOKUP($J10,SettlementRef!$G$6:$AI$100,AB$2,0))</f>
        <v>110</v>
      </c>
      <c r="AC10" s="58">
        <f>IF(AB10="","",VLOOKUP($J10,SettlementRef!$G$6:$AI$100,AC$2,0))</f>
        <v>63</v>
      </c>
      <c r="AD10" s="58">
        <f>IF(AC10="","",VLOOKUP($J10,SettlementRef!$G$6:$AI$100,AD$2,0))</f>
        <v>0.23499999999999999</v>
      </c>
      <c r="AE10" s="58">
        <f>IF(AD10="","",VLOOKUP($J10,SettlementRef!$G$6:$AI$100,AE$2,0))</f>
        <v>0.60499999999999998</v>
      </c>
      <c r="AF10" s="58">
        <f>IF(AE10="","",VLOOKUP($J10,SettlementRef!$G$6:$AI$100,AF$2,0))</f>
        <v>0.54449999999999998</v>
      </c>
      <c r="AG10" s="58">
        <f>IF(AF10="","",VLOOKUP($J10,SettlementRef!$G$6:$AI$100,AG$2,0))</f>
        <v>0.177285</v>
      </c>
      <c r="AH10" s="58">
        <f>IF(AG10="","",VLOOKUP($J10,SettlementRef!$G$6:$AI$100,AH$2,0))</f>
        <v>8.2057859999999998</v>
      </c>
      <c r="AI10" s="58">
        <f>IF(AH10="","",VLOOKUP($J10,SettlementRef!$G$6:$AI$100,AI$2,0))</f>
        <v>0.15120000000000003</v>
      </c>
      <c r="AJ10" s="58">
        <f>IF(AI10="","",VLOOKUP($J10,SettlementRef!$G$6:$AI$100,AJ$2,0))</f>
        <v>0.13910400000000001</v>
      </c>
      <c r="AK10" s="59">
        <f>IF(AJ10="","",VLOOKUP($J10,SettlementRef!$G$6:$AI$100,AK$2,0))</f>
        <v>0.12519360000000002</v>
      </c>
      <c r="AL10" s="61">
        <f>IF(AK10="","",VLOOKUP($J10,SettlementRef!$G$6:$AI$100,AL$2,0))</f>
        <v>21</v>
      </c>
      <c r="AM10" s="58">
        <f>IF(AL10="","",VLOOKUP($J10,SettlementRef!$G$6:$AI$100,AM$2,0))</f>
        <v>31</v>
      </c>
      <c r="AN10" s="58">
        <f>IF(AM10="","",VLOOKUP($J10,SettlementRef!$G$6:$AI$100,AN$2,0))</f>
        <v>5.1999999999999998E-2</v>
      </c>
      <c r="AO10" s="58">
        <f>IF(AN10="","",VLOOKUP($J10,SettlementRef!$G$6:$AI$100,AO$2,0))</f>
        <v>4.1313888000000007E-2</v>
      </c>
      <c r="AP10" s="59">
        <f>IF(AO10="","",VLOOKUP($J10,SettlementRef!$G$6:$AI$100,AP$2,0))</f>
        <v>6.0276900000000008E-2</v>
      </c>
      <c r="AQ10" s="68">
        <f>VLOOKUP($K10,SettlementRef!$G$5:$AI$22,AQ$2,0)</f>
        <v>55</v>
      </c>
      <c r="AR10" s="69">
        <f>VLOOKUP($K10,SettlementRef!$G$5:$AI$22,AR$2,0)</f>
        <v>85</v>
      </c>
      <c r="AS10" s="69">
        <f>VLOOKUP($K10,SettlementRef!$G$5:$AI$22,AS$2,0)</f>
        <v>89</v>
      </c>
      <c r="AT10" s="69">
        <f>VLOOKUP($K10,SettlementRef!$G$5:$AI$22,AT$2,0)</f>
        <v>46</v>
      </c>
      <c r="AU10" s="69">
        <f>VLOOKUP($K10,SettlementRef!$G$5:$AI$22,AU$2,0)</f>
        <v>69</v>
      </c>
      <c r="AV10" s="69">
        <f>VLOOKUP($K10,SettlementRef!$G$5:$AI$22,AV$2,0)</f>
        <v>0.6</v>
      </c>
      <c r="AW10" s="69">
        <f>VLOOKUP($K10,SettlementRef!$G$5:$AI$22,AW$2,0)</f>
        <v>26</v>
      </c>
      <c r="AX10" s="69">
        <f>VLOOKUP($K10,SettlementRef!$G$5:$AI$22,AX$2,0)</f>
        <v>28.6</v>
      </c>
      <c r="AY10" s="69">
        <f>VLOOKUP($K10,SettlementRef!$G$5:$AI$22,AY$2,0)</f>
        <v>9.5333333333333332</v>
      </c>
      <c r="AZ10" s="70">
        <f>VLOOKUP($K10,SettlementRef!$G$5:$AI$22,AZ$2,0)</f>
        <v>0</v>
      </c>
      <c r="BA10" s="68">
        <f>VLOOKUP($K10,SettlementRef!$G$5:$AI$22,BA$2,0)</f>
        <v>54</v>
      </c>
      <c r="BB10" s="69">
        <f>VLOOKUP($K10,SettlementRef!$G$5:$AI$22,BB$2,0)</f>
        <v>65</v>
      </c>
      <c r="BC10" s="69">
        <f>VLOOKUP($K10,SettlementRef!$G$5:$AI$22,BC$2,0)</f>
        <v>0.27600000000000002</v>
      </c>
      <c r="BD10" s="69">
        <f>VLOOKUP($K10,SettlementRef!$G$5:$AI$22,BD$2,0)</f>
        <v>0.58899999999999997</v>
      </c>
      <c r="BE10" s="69">
        <f>VLOOKUP($K10,SettlementRef!$G$5:$AI$22,BE$2,0)</f>
        <v>0.53010000000000002</v>
      </c>
      <c r="BF10" s="69">
        <f>VLOOKUP($K10,SettlementRef!$G$5:$AI$22,BF$2,0)</f>
        <v>0.18063000000000001</v>
      </c>
      <c r="BG10" s="69">
        <f>VLOOKUP($K10,SettlementRef!$G$5:$AI$22,BG$2,0)</f>
        <v>7.096896000000001</v>
      </c>
      <c r="BH10" s="69">
        <f>VLOOKUP($K10,SettlementRef!$G$5:$AI$22,BH$2,0)</f>
        <v>0.13440000000000002</v>
      </c>
      <c r="BI10" s="69">
        <f>VLOOKUP($K10,SettlementRef!$G$5:$AI$22,BI$2,0)</f>
        <v>0.12364800000000001</v>
      </c>
      <c r="BJ10" s="70">
        <f>VLOOKUP($K10,SettlementRef!$G$5:$AI$22,BJ$2,0)</f>
        <v>0.11128320000000001</v>
      </c>
      <c r="BK10" s="68">
        <f>VLOOKUP($K10,SettlementRef!$G$5:$AI$22,BK$2,0)</f>
        <v>24</v>
      </c>
      <c r="BL10" s="69">
        <f>VLOOKUP($K10,SettlementRef!$G$5:$AI$22,BL$2,0)</f>
        <v>34</v>
      </c>
      <c r="BM10" s="69">
        <f>VLOOKUP($K10,SettlementRef!$G$5:$AI$22,BM$2,0)</f>
        <v>5.5E-2</v>
      </c>
      <c r="BN10" s="69">
        <f>VLOOKUP($K10,SettlementRef!$G$5:$AI$22,BN$2,0)</f>
        <v>3.6723456000000008E-2</v>
      </c>
      <c r="BO10" s="70">
        <f>VLOOKUP($K10,SettlementRef!$G$5:$AI$22,BO$2,0)</f>
        <v>6.1414200000000016E-2</v>
      </c>
      <c r="BP10" s="77">
        <f>AQ10-R10</f>
        <v>-5</v>
      </c>
      <c r="BQ10" s="78">
        <f t="shared" si="0"/>
        <v>-5</v>
      </c>
      <c r="BR10" s="78">
        <f t="shared" si="1"/>
        <v>-4</v>
      </c>
      <c r="BS10" s="78">
        <f t="shared" si="1"/>
        <v>2</v>
      </c>
      <c r="BT10" s="78">
        <f t="shared" si="1"/>
        <v>8</v>
      </c>
      <c r="BU10" s="78">
        <f t="shared" si="1"/>
        <v>0.16999999999999998</v>
      </c>
      <c r="BV10" s="78">
        <f t="shared" si="1"/>
        <v>-2</v>
      </c>
      <c r="BW10" s="78">
        <f t="shared" si="1"/>
        <v>-2.2000000000000028</v>
      </c>
      <c r="BX10" s="78">
        <f t="shared" si="1"/>
        <v>-0.73333333333333428</v>
      </c>
      <c r="BY10" s="79">
        <f t="shared" si="1"/>
        <v>0</v>
      </c>
      <c r="BZ10" s="86">
        <f t="shared" si="1"/>
        <v>-56</v>
      </c>
      <c r="CA10" s="87">
        <f t="shared" si="1"/>
        <v>2</v>
      </c>
      <c r="CB10" s="87">
        <f t="shared" si="2"/>
        <v>4.1000000000000036E-2</v>
      </c>
      <c r="CC10" s="87">
        <f t="shared" si="2"/>
        <v>-1.6000000000000014E-2</v>
      </c>
      <c r="CD10" s="87">
        <f t="shared" si="2"/>
        <v>-1.4399999999999968E-2</v>
      </c>
      <c r="CE10" s="87">
        <f t="shared" si="2"/>
        <v>3.3450000000000146E-3</v>
      </c>
      <c r="CF10" s="87">
        <f t="shared" si="2"/>
        <v>-1.1088899999999988</v>
      </c>
      <c r="CG10" s="87">
        <f t="shared" si="2"/>
        <v>-1.6800000000000009E-2</v>
      </c>
      <c r="CH10" s="87">
        <f t="shared" si="2"/>
        <v>-1.5455999999999998E-2</v>
      </c>
      <c r="CI10" s="88">
        <f t="shared" si="2"/>
        <v>-1.3910400000000003E-2</v>
      </c>
      <c r="CJ10" s="95">
        <f t="shared" si="2"/>
        <v>3</v>
      </c>
      <c r="CK10" s="96">
        <f t="shared" si="2"/>
        <v>3</v>
      </c>
      <c r="CL10" s="96">
        <f t="shared" si="3"/>
        <v>3.0000000000000027E-3</v>
      </c>
      <c r="CM10" s="96">
        <f t="shared" si="3"/>
        <v>-4.5904319999999985E-3</v>
      </c>
      <c r="CN10" s="97">
        <f t="shared" si="3"/>
        <v>1.1373000000000077E-3</v>
      </c>
      <c r="CO10" s="104"/>
      <c r="CP10" s="105"/>
      <c r="CQ10" s="105"/>
      <c r="CR10" s="105"/>
      <c r="CS10" s="105"/>
      <c r="CT10" s="105"/>
      <c r="CU10" s="105"/>
      <c r="CV10" s="105"/>
      <c r="CW10" s="105"/>
      <c r="CX10" s="106"/>
      <c r="CY10" s="113"/>
      <c r="CZ10" s="114"/>
      <c r="DA10" s="114"/>
      <c r="DB10" s="114"/>
      <c r="DC10" s="114"/>
      <c r="DD10" s="114"/>
      <c r="DE10" s="114"/>
      <c r="DF10" s="114"/>
      <c r="DG10" s="114"/>
      <c r="DH10" s="115"/>
      <c r="DI10" s="122"/>
      <c r="DJ10" s="123"/>
      <c r="DK10" s="123"/>
      <c r="DL10" s="123"/>
      <c r="DM10" s="124"/>
      <c r="DN10" s="28"/>
      <c r="DO10" s="29"/>
      <c r="DP10" s="29"/>
      <c r="DQ10" s="29"/>
      <c r="DR10" s="29"/>
      <c r="DS10" s="29"/>
      <c r="DT10" s="29"/>
      <c r="DU10" s="29"/>
      <c r="DV10" s="29"/>
      <c r="DW10" s="30"/>
      <c r="DX10" s="35"/>
      <c r="DY10" s="35"/>
      <c r="DZ10" s="35"/>
      <c r="EA10" s="35"/>
      <c r="EB10" s="35"/>
      <c r="EC10" s="35"/>
      <c r="ED10" s="35"/>
      <c r="EE10" s="35"/>
      <c r="EF10" s="35"/>
      <c r="EG10" s="36"/>
      <c r="EH10" s="43"/>
      <c r="EI10" s="44"/>
      <c r="EJ10" s="44"/>
      <c r="EK10" s="44"/>
      <c r="EL10" s="45"/>
      <c r="EM10" s="16">
        <f>SUM(DN10:DW10)</f>
        <v>0</v>
      </c>
      <c r="EN10" s="16">
        <f>SUM(DX10:EG10)</f>
        <v>0</v>
      </c>
      <c r="EO10" s="16">
        <f>SUM(EH10:EL10)</f>
        <v>0</v>
      </c>
      <c r="EP10" s="17">
        <f>EM10+EN10-EO10</f>
        <v>0</v>
      </c>
      <c r="EQ10" s="17">
        <f>SUM(ET10:GO10)</f>
        <v>0</v>
      </c>
      <c r="ER10" s="17">
        <f>EQ10*EP10</f>
        <v>0</v>
      </c>
      <c r="ET10">
        <f>IF(ET$5&gt;=$L10,(IF(ET$5&lt;=$M10,'Sales Qty'!K10,0)),0)</f>
        <v>0</v>
      </c>
      <c r="EU10">
        <f>IF(EU$5&gt;=$L10,(IF(EU$5&lt;=$M10,'Sales Qty'!L10,0)),0)</f>
        <v>0</v>
      </c>
      <c r="EV10">
        <f>IF(EV$5&gt;=$L10,(IF(EV$5&lt;=$M10,'Sales Qty'!M10,0)),0)</f>
        <v>0</v>
      </c>
      <c r="EW10">
        <f>IF(EW$5&gt;=$L10,(IF(EW$5&lt;=$M10,'Sales Qty'!N10,0)),0)</f>
        <v>0</v>
      </c>
      <c r="EX10">
        <f>IF(EX$5&gt;=$L10,(IF(EX$5&lt;=$M10,'Sales Qty'!O10,0)),0)</f>
        <v>0</v>
      </c>
      <c r="EY10">
        <f>IF(EY$5&gt;=$L10,(IF(EY$5&lt;=$M10,'Sales Qty'!P10,0)),0)</f>
        <v>0</v>
      </c>
      <c r="EZ10">
        <f>IF(EZ$5&gt;=$L10,(IF(EZ$5&lt;=$M10,'Sales Qty'!Q10,0)),0)</f>
        <v>0</v>
      </c>
      <c r="FA10">
        <f>IF(FA$5&gt;=$L10,(IF(FA$5&lt;=$M10,'Sales Qty'!R10,0)),0)</f>
        <v>0</v>
      </c>
      <c r="FB10">
        <f>IF(FB$5&gt;=$L10,(IF(FB$5&lt;=$M10,'Sales Qty'!S10,0)),0)</f>
        <v>0</v>
      </c>
      <c r="FC10">
        <f>IF(FC$5&gt;=$L10,(IF(FC$5&lt;=$M10,'Sales Qty'!T10,0)),0)</f>
        <v>0</v>
      </c>
      <c r="FD10">
        <f>IF(FD$5&gt;=$L10,(IF(FD$5&lt;=$M10,'Sales Qty'!U10,0)),0)</f>
        <v>0</v>
      </c>
      <c r="FE10">
        <f>IF(FE$5&gt;=$L10,(IF(FE$5&lt;=$M10,'Sales Qty'!V10,0)),0)</f>
        <v>0</v>
      </c>
      <c r="FF10">
        <f>IF(FF$5&gt;=$L10,(IF(FF$5&lt;=$M10,'Sales Qty'!W10,0)),0)</f>
        <v>0</v>
      </c>
      <c r="FG10">
        <f>IF(FG$5&gt;=$L10,(IF(FG$5&lt;=$M10,'Sales Qty'!X10,0)),0)</f>
        <v>0</v>
      </c>
      <c r="FH10">
        <f>IF(FH$5&gt;=$L10,(IF(FH$5&lt;=$M10,'Sales Qty'!Y10,0)),0)</f>
        <v>0</v>
      </c>
      <c r="FI10">
        <f>IF(FI$5&gt;=$L10,(IF(FI$5&lt;=$M10,'Sales Qty'!Z10,0)),0)</f>
        <v>0</v>
      </c>
      <c r="FJ10">
        <f>IF(FJ$5&gt;=$L10,(IF(FJ$5&lt;=$M10,'Sales Qty'!AA10,0)),0)</f>
        <v>0</v>
      </c>
      <c r="FK10">
        <f>IF(FK$5&gt;=$L10,(IF(FK$5&lt;=$M10,'Sales Qty'!AB10,0)),0)</f>
        <v>0</v>
      </c>
      <c r="FL10">
        <f>IF(FL$5&gt;=$L10,(IF(FL$5&lt;=$M10,'Sales Qty'!AC10,0)),0)</f>
        <v>0</v>
      </c>
      <c r="FM10">
        <f>IF(FM$5&gt;=$L10,(IF(FM$5&lt;=$M10,'Sales Qty'!AD10,0)),0)</f>
        <v>0</v>
      </c>
      <c r="FN10">
        <f>IF(FN$5&gt;=$L10,(IF(FN$5&lt;=$M10,'Sales Qty'!AE10,0)),0)</f>
        <v>0</v>
      </c>
      <c r="FO10">
        <f>IF(FO$5&gt;=$L10,(IF(FO$5&lt;=$M10,'Sales Qty'!AF10,0)),0)</f>
        <v>0</v>
      </c>
      <c r="FP10">
        <f>IF(FP$5&gt;=$L10,(IF(FP$5&lt;=$M10,'Sales Qty'!AG10,0)),0)</f>
        <v>0</v>
      </c>
      <c r="FQ10">
        <f>IF(FQ$5&gt;=$L10,(IF(FQ$5&lt;=$M10,'Sales Qty'!AH10,0)),0)</f>
        <v>0</v>
      </c>
      <c r="FR10">
        <f>IF(FR$5&gt;=$L10,(IF(FR$5&lt;=$M10,'Sales Qty'!AI10,0)),0)</f>
        <v>0</v>
      </c>
      <c r="FS10">
        <f>IF(FS$5&gt;=$L10,(IF(FS$5&lt;=$M10,'Sales Qty'!AJ10,0)),0)</f>
        <v>0</v>
      </c>
      <c r="FT10">
        <f>IF(FT$5&gt;=$L10,(IF(FT$5&lt;=$M10,'Sales Qty'!AK10,0)),0)</f>
        <v>0</v>
      </c>
      <c r="FU10">
        <f>IF(FU$5&gt;=$L10,(IF(FU$5&lt;=$M10,'Sales Qty'!AL10,0)),0)</f>
        <v>0</v>
      </c>
      <c r="FV10">
        <f>IF(FV$5&gt;=$L10,(IF(FV$5&lt;=$M10,'Sales Qty'!AM10,0)),0)</f>
        <v>0</v>
      </c>
      <c r="FW10">
        <f>IF(FW$5&gt;=$L10,(IF(FW$5&lt;=$M10,'Sales Qty'!AN10,0)),0)</f>
        <v>0</v>
      </c>
      <c r="FX10">
        <f>IF(FX$5&gt;=$L10,(IF(FX$5&lt;=$M10,'Sales Qty'!AO10,0)),0)</f>
        <v>0</v>
      </c>
      <c r="FY10">
        <f>IF(FY$5&gt;=$L10,(IF(FY$5&lt;=$M10,'Sales Qty'!AP10,0)),0)</f>
        <v>0</v>
      </c>
      <c r="FZ10">
        <f>IF(FZ$5&gt;=$L10,(IF(FZ$5&lt;=$M10,'Sales Qty'!AQ10,0)),0)</f>
        <v>0</v>
      </c>
      <c r="GA10">
        <f>IF(GA$5&gt;=$L10,(IF(GA$5&lt;=$M10,'Sales Qty'!AR10,0)),0)</f>
        <v>0</v>
      </c>
      <c r="GB10">
        <f>IF(GB$5&gt;=$L10,(IF(GB$5&lt;=$M10,'Sales Qty'!AS10,0)),0)</f>
        <v>0</v>
      </c>
      <c r="GC10">
        <f>IF(GC$5&gt;=$L10,(IF(GC$5&lt;=$M10,'Sales Qty'!AT10,0)),0)</f>
        <v>0</v>
      </c>
      <c r="GD10">
        <f>IF(GD$5&gt;=$L10,(IF(GD$5&lt;=$M10,'Sales Qty'!AU10,0)),0)</f>
        <v>0</v>
      </c>
      <c r="GE10">
        <f>IF(GE$5&gt;=$L10,(IF(GE$5&lt;=$M10,'Sales Qty'!AV10,0)),0)</f>
        <v>0</v>
      </c>
      <c r="GF10">
        <f>IF(GF$5&gt;=$L10,(IF(GF$5&lt;=$M10,'Sales Qty'!AW10,0)),0)</f>
        <v>0</v>
      </c>
      <c r="GG10">
        <f>IF(GG$5&gt;=$L10,(IF(GG$5&lt;=$M10,'Sales Qty'!AX10,0)),0)</f>
        <v>0</v>
      </c>
      <c r="GH10">
        <f>IF(GH$5&gt;=$L10,(IF(GH$5&lt;=$M10,'Sales Qty'!AY10,0)),0)</f>
        <v>0</v>
      </c>
      <c r="GI10">
        <f>IF(GI$5&gt;=$L10,(IF(GI$5&lt;=$M10,'Sales Qty'!AZ10,0)),0)</f>
        <v>0</v>
      </c>
      <c r="GJ10">
        <f>IF(GJ$5&gt;=$L10,(IF(GJ$5&lt;=$M10,'Sales Qty'!BA10,0)),0)</f>
        <v>0</v>
      </c>
      <c r="GK10">
        <f>IF(GK$5&gt;=$L10,(IF(GK$5&lt;=$M10,'Sales Qty'!BB10,0)),0)</f>
        <v>0</v>
      </c>
      <c r="GL10">
        <f>IF(GL$5&gt;=$L10,(IF(GL$5&lt;=$M10,'Sales Qty'!BC10,0)),0)</f>
        <v>0</v>
      </c>
      <c r="GM10">
        <f>IF(GM$5&gt;=$L10,(IF(GM$5&lt;=$M10,'Sales Qty'!BD10,0)),0)</f>
        <v>0</v>
      </c>
      <c r="GN10">
        <f>IF(GN$5&gt;=$L10,(IF(GN$5&lt;=$M10,'Sales Qty'!BE10,0)),0)</f>
        <v>0</v>
      </c>
      <c r="GO10">
        <f>IF(GO$5&gt;=$L10,(IF(GO$5&lt;=$M10,'Sales Qty'!BF10,0)),0)</f>
        <v>0</v>
      </c>
    </row>
    <row r="11" spans="1:197" x14ac:dyDescent="0.25">
      <c r="A11" t="s">
        <v>82</v>
      </c>
      <c r="J11" s="19"/>
      <c r="K11" s="19"/>
      <c r="L11" s="20"/>
      <c r="M11" s="20"/>
      <c r="P11" s="11"/>
      <c r="R11" s="9" t="str">
        <f>IF(J11="","",VLOOKUP($J11,SettlementRef!$G$6:$AI$100,R$2,0))</f>
        <v/>
      </c>
      <c r="S11" t="str">
        <f>IF(R11="","",VLOOKUP($J11,SettlementRef!$G$6:$AI$100,S$2,0))</f>
        <v/>
      </c>
      <c r="T11" t="str">
        <f>IF(S11="","",VLOOKUP($J11,SettlementRef!$G$6:$AI$100,T$2,0))</f>
        <v/>
      </c>
      <c r="U11" t="str">
        <f>IF(T11="","",VLOOKUP($J11,SettlementRef!$G$6:$AI$100,U$2,0))</f>
        <v/>
      </c>
      <c r="V11" t="str">
        <f>IF(U11="","",VLOOKUP($J11,SettlementRef!$G$6:$AI$100,V$2,0))</f>
        <v/>
      </c>
      <c r="W11" t="str">
        <f>IF(V11="","",VLOOKUP($J11,SettlementRef!$G$6:$AI$100,W$2,0))</f>
        <v/>
      </c>
      <c r="X11" t="str">
        <f>IF(W11="","",VLOOKUP($J11,SettlementRef!$G$6:$AI$100,X$2,0))</f>
        <v/>
      </c>
      <c r="Y11" t="str">
        <f>IF(X11="","",VLOOKUP($J11,SettlementRef!$G$6:$AI$100,Y$2,0))</f>
        <v/>
      </c>
      <c r="Z11" t="str">
        <f>IF(Y11="","",VLOOKUP($J11,SettlementRef!$G$6:$AI$100,Z$2,0))</f>
        <v/>
      </c>
      <c r="AA11" t="str">
        <f>IF(Z11="","",VLOOKUP($J11,SettlementRef!$G$6:$AI$100,AA$2,0))</f>
        <v/>
      </c>
      <c r="AB11" t="str">
        <f>IF(AA11="","",VLOOKUP($J11,SettlementRef!$G$6:$AI$100,AB$2,0))</f>
        <v/>
      </c>
      <c r="AC11" t="str">
        <f>IF(AB11="","",VLOOKUP($J11,SettlementRef!$G$6:$AI$100,AC$2,0))</f>
        <v/>
      </c>
      <c r="AD11" t="str">
        <f>IF(AC11="","",VLOOKUP($J11,SettlementRef!$G$6:$AI$100,AD$2,0))</f>
        <v/>
      </c>
      <c r="AE11" t="str">
        <f>IF(AD11="","",VLOOKUP($J11,SettlementRef!$G$6:$AI$100,AE$2,0))</f>
        <v/>
      </c>
      <c r="AF11" t="str">
        <f>IF(AE11="","",VLOOKUP($J11,SettlementRef!$G$6:$AI$100,AF$2,0))</f>
        <v/>
      </c>
      <c r="AG11" t="str">
        <f>IF(AF11="","",VLOOKUP($J11,SettlementRef!$G$6:$AI$100,AG$2,0))</f>
        <v/>
      </c>
      <c r="AH11" t="str">
        <f>IF(AG11="","",VLOOKUP($J11,SettlementRef!$G$6:$AI$100,AH$2,0))</f>
        <v/>
      </c>
      <c r="AI11" t="str">
        <f>IF(AH11="","",VLOOKUP($J11,SettlementRef!$G$6:$AI$100,AI$2,0))</f>
        <v/>
      </c>
      <c r="AJ11" t="str">
        <f>IF(AI11="","",VLOOKUP($J11,SettlementRef!$G$6:$AI$100,AJ$2,0))</f>
        <v/>
      </c>
      <c r="AK11" t="str">
        <f>IF(AJ11="","",VLOOKUP($J11,SettlementRef!$G$6:$AI$100,AK$2,0))</f>
        <v/>
      </c>
      <c r="AL11" t="str">
        <f>IF(AK11="","",VLOOKUP($J11,SettlementRef!$G$6:$AI$100,AL$2,0))</f>
        <v/>
      </c>
      <c r="AM11" t="str">
        <f>IF(AL11="","",VLOOKUP($J11,SettlementRef!$G$6:$AI$100,AM$2,0))</f>
        <v/>
      </c>
      <c r="AN11" t="str">
        <f>IF(AM11="","",VLOOKUP($J11,SettlementRef!$G$6:$AI$100,AN$2,0))</f>
        <v/>
      </c>
      <c r="AO11" t="str">
        <f>IF(AN11="","",VLOOKUP($J11,SettlementRef!$G$6:$AI$100,AO$2,0))</f>
        <v/>
      </c>
      <c r="AP11" t="str">
        <f>IF(AO11="","",VLOOKUP($J11,SettlementRef!$G$6:$AI$100,AP$2,0))</f>
        <v/>
      </c>
    </row>
    <row r="12" spans="1:197" x14ac:dyDescent="0.25">
      <c r="A12" t="s">
        <v>83</v>
      </c>
      <c r="J12" s="19"/>
      <c r="K12" s="19"/>
      <c r="L12" s="20"/>
      <c r="M12" s="20"/>
      <c r="R12" s="9" t="str">
        <f>IF(J12="","",VLOOKUP($J12,SettlementRef!$G$6:$AI$100,R$2,0))</f>
        <v/>
      </c>
      <c r="S12" t="str">
        <f>IF(R12="","",VLOOKUP($J12,SettlementRef!$G$6:$AI$100,S$2,0))</f>
        <v/>
      </c>
      <c r="T12" t="str">
        <f>IF(S12="","",VLOOKUP($J12,SettlementRef!$G$6:$AI$100,T$2,0))</f>
        <v/>
      </c>
      <c r="U12" t="str">
        <f>IF(T12="","",VLOOKUP($J12,SettlementRef!$G$6:$AI$100,U$2,0))</f>
        <v/>
      </c>
      <c r="V12" t="str">
        <f>IF(U12="","",VLOOKUP($J12,SettlementRef!$G$6:$AI$100,V$2,0))</f>
        <v/>
      </c>
      <c r="W12" t="str">
        <f>IF(V12="","",VLOOKUP($J12,SettlementRef!$G$6:$AI$100,W$2,0))</f>
        <v/>
      </c>
      <c r="X12" t="str">
        <f>IF(W12="","",VLOOKUP($J12,SettlementRef!$G$6:$AI$100,X$2,0))</f>
        <v/>
      </c>
      <c r="Y12" t="str">
        <f>IF(X12="","",VLOOKUP($J12,SettlementRef!$G$6:$AI$100,Y$2,0))</f>
        <v/>
      </c>
      <c r="Z12" t="str">
        <f>IF(Y12="","",VLOOKUP($J12,SettlementRef!$G$6:$AI$100,Z$2,0))</f>
        <v/>
      </c>
      <c r="AA12" t="str">
        <f>IF(Z12="","",VLOOKUP($J12,SettlementRef!$G$6:$AI$100,AA$2,0))</f>
        <v/>
      </c>
      <c r="AB12" t="str">
        <f>IF(AA12="","",VLOOKUP($J12,SettlementRef!$G$6:$AI$100,AB$2,0))</f>
        <v/>
      </c>
      <c r="AC12" t="str">
        <f>IF(AB12="","",VLOOKUP($J12,SettlementRef!$G$6:$AI$100,AC$2,0))</f>
        <v/>
      </c>
      <c r="AD12" t="str">
        <f>IF(AC12="","",VLOOKUP($J12,SettlementRef!$G$6:$AI$100,AD$2,0))</f>
        <v/>
      </c>
      <c r="AE12" t="str">
        <f>IF(AD12="","",VLOOKUP($J12,SettlementRef!$G$6:$AI$100,AE$2,0))</f>
        <v/>
      </c>
      <c r="AF12" t="str">
        <f>IF(AE12="","",VLOOKUP($J12,SettlementRef!$G$6:$AI$100,AF$2,0))</f>
        <v/>
      </c>
      <c r="AG12" t="str">
        <f>IF(AF12="","",VLOOKUP($J12,SettlementRef!$G$6:$AI$100,AG$2,0))</f>
        <v/>
      </c>
      <c r="AH12" t="str">
        <f>IF(AG12="","",VLOOKUP($J12,SettlementRef!$G$6:$AI$100,AH$2,0))</f>
        <v/>
      </c>
      <c r="AI12" t="str">
        <f>IF(AH12="","",VLOOKUP($J12,SettlementRef!$G$6:$AI$100,AI$2,0))</f>
        <v/>
      </c>
      <c r="AJ12" t="str">
        <f>IF(AI12="","",VLOOKUP($J12,SettlementRef!$G$6:$AI$100,AJ$2,0))</f>
        <v/>
      </c>
      <c r="AK12" t="str">
        <f>IF(AJ12="","",VLOOKUP($J12,SettlementRef!$G$6:$AI$100,AK$2,0))</f>
        <v/>
      </c>
      <c r="AL12" t="str">
        <f>IF(AK12="","",VLOOKUP($J12,SettlementRef!$G$6:$AI$100,AL$2,0))</f>
        <v/>
      </c>
      <c r="AM12" t="str">
        <f>IF(AL12="","",VLOOKUP($J12,SettlementRef!$G$6:$AI$100,AM$2,0))</f>
        <v/>
      </c>
      <c r="AN12" t="str">
        <f>IF(AM12="","",VLOOKUP($J12,SettlementRef!$G$6:$AI$100,AN$2,0))</f>
        <v/>
      </c>
      <c r="AO12" t="str">
        <f>IF(AN12="","",VLOOKUP($J12,SettlementRef!$G$6:$AI$100,AO$2,0))</f>
        <v/>
      </c>
      <c r="AP12" t="str">
        <f>IF(AO12="","",VLOOKUP($J12,SettlementRef!$G$6:$AI$100,AP$2,0))</f>
        <v/>
      </c>
    </row>
    <row r="13" spans="1:197" x14ac:dyDescent="0.25">
      <c r="A13" t="s">
        <v>84</v>
      </c>
      <c r="J13" s="19"/>
      <c r="K13" s="19"/>
      <c r="L13" s="20"/>
      <c r="M13" s="20"/>
      <c r="R13" s="9" t="str">
        <f>IF(J13="","",VLOOKUP($J13,SettlementRef!$G$6:$AI$100,R$2,0))</f>
        <v/>
      </c>
      <c r="S13" t="str">
        <f>IF(R13="","",VLOOKUP($J13,SettlementRef!$G$6:$AI$100,S$2,0))</f>
        <v/>
      </c>
      <c r="T13" t="str">
        <f>IF(S13="","",VLOOKUP($J13,SettlementRef!$G$6:$AI$100,T$2,0))</f>
        <v/>
      </c>
      <c r="U13" t="str">
        <f>IF(T13="","",VLOOKUP($J13,SettlementRef!$G$6:$AI$100,U$2,0))</f>
        <v/>
      </c>
      <c r="V13" t="str">
        <f>IF(U13="","",VLOOKUP($J13,SettlementRef!$G$6:$AI$100,V$2,0))</f>
        <v/>
      </c>
      <c r="W13" t="str">
        <f>IF(V13="","",VLOOKUP($J13,SettlementRef!$G$6:$AI$100,W$2,0))</f>
        <v/>
      </c>
      <c r="X13" t="str">
        <f>IF(W13="","",VLOOKUP($J13,SettlementRef!$G$6:$AI$100,X$2,0))</f>
        <v/>
      </c>
      <c r="Y13" t="str">
        <f>IF(X13="","",VLOOKUP($J13,SettlementRef!$G$6:$AI$100,Y$2,0))</f>
        <v/>
      </c>
      <c r="Z13" t="str">
        <f>IF(Y13="","",VLOOKUP($J13,SettlementRef!$G$6:$AI$100,Z$2,0))</f>
        <v/>
      </c>
      <c r="AA13" t="str">
        <f>IF(Z13="","",VLOOKUP($J13,SettlementRef!$G$6:$AI$100,AA$2,0))</f>
        <v/>
      </c>
      <c r="AB13" t="str">
        <f>IF(AA13="","",VLOOKUP($J13,SettlementRef!$G$6:$AI$100,AB$2,0))</f>
        <v/>
      </c>
      <c r="AC13" t="str">
        <f>IF(AB13="","",VLOOKUP($J13,SettlementRef!$G$6:$AI$100,AC$2,0))</f>
        <v/>
      </c>
      <c r="AD13" t="str">
        <f>IF(AC13="","",VLOOKUP($J13,SettlementRef!$G$6:$AI$100,AD$2,0))</f>
        <v/>
      </c>
      <c r="AE13" t="str">
        <f>IF(AD13="","",VLOOKUP($J13,SettlementRef!$G$6:$AI$100,AE$2,0))</f>
        <v/>
      </c>
      <c r="AF13" t="str">
        <f>IF(AE13="","",VLOOKUP($J13,SettlementRef!$G$6:$AI$100,AF$2,0))</f>
        <v/>
      </c>
      <c r="AG13" t="str">
        <f>IF(AF13="","",VLOOKUP($J13,SettlementRef!$G$6:$AI$100,AG$2,0))</f>
        <v/>
      </c>
      <c r="AH13" t="str">
        <f>IF(AG13="","",VLOOKUP($J13,SettlementRef!$G$6:$AI$100,AH$2,0))</f>
        <v/>
      </c>
      <c r="AI13" t="str">
        <f>IF(AH13="","",VLOOKUP($J13,SettlementRef!$G$6:$AI$100,AI$2,0))</f>
        <v/>
      </c>
      <c r="AJ13" t="str">
        <f>IF(AI13="","",VLOOKUP($J13,SettlementRef!$G$6:$AI$100,AJ$2,0))</f>
        <v/>
      </c>
      <c r="AK13" t="str">
        <f>IF(AJ13="","",VLOOKUP($J13,SettlementRef!$G$6:$AI$100,AK$2,0))</f>
        <v/>
      </c>
      <c r="AL13" t="str">
        <f>IF(AK13="","",VLOOKUP($J13,SettlementRef!$G$6:$AI$100,AL$2,0))</f>
        <v/>
      </c>
      <c r="AM13" t="str">
        <f>IF(AL13="","",VLOOKUP($J13,SettlementRef!$G$6:$AI$100,AM$2,0))</f>
        <v/>
      </c>
      <c r="AN13" t="str">
        <f>IF(AM13="","",VLOOKUP($J13,SettlementRef!$G$6:$AI$100,AN$2,0))</f>
        <v/>
      </c>
      <c r="AO13" t="str">
        <f>IF(AN13="","",VLOOKUP($J13,SettlementRef!$G$6:$AI$100,AO$2,0))</f>
        <v/>
      </c>
      <c r="AP13" t="str">
        <f>IF(AO13="","",VLOOKUP($J13,SettlementRef!$G$6:$AI$100,AP$2,0))</f>
        <v/>
      </c>
    </row>
    <row r="14" spans="1:197" x14ac:dyDescent="0.25">
      <c r="A14" t="s">
        <v>85</v>
      </c>
      <c r="J14" s="19"/>
      <c r="K14" s="19"/>
      <c r="L14" s="20"/>
      <c r="M14" s="20"/>
      <c r="R14" s="9" t="str">
        <f>IF(J14="","",VLOOKUP($J14,SettlementRef!$G$6:$AI$100,R$2,0))</f>
        <v/>
      </c>
      <c r="S14" t="str">
        <f>IF(R14="","",VLOOKUP($J14,SettlementRef!$G$6:$AI$100,S$2,0))</f>
        <v/>
      </c>
      <c r="T14" t="str">
        <f>IF(S14="","",VLOOKUP($J14,SettlementRef!$G$6:$AI$100,T$2,0))</f>
        <v/>
      </c>
      <c r="U14" t="str">
        <f>IF(T14="","",VLOOKUP($J14,SettlementRef!$G$6:$AI$100,U$2,0))</f>
        <v/>
      </c>
      <c r="V14" t="str">
        <f>IF(U14="","",VLOOKUP($J14,SettlementRef!$G$6:$AI$100,V$2,0))</f>
        <v/>
      </c>
      <c r="W14" t="str">
        <f>IF(V14="","",VLOOKUP($J14,SettlementRef!$G$6:$AI$100,W$2,0))</f>
        <v/>
      </c>
      <c r="X14" t="str">
        <f>IF(W14="","",VLOOKUP($J14,SettlementRef!$G$6:$AI$100,X$2,0))</f>
        <v/>
      </c>
      <c r="Y14" t="str">
        <f>IF(X14="","",VLOOKUP($J14,SettlementRef!$G$6:$AI$100,Y$2,0))</f>
        <v/>
      </c>
      <c r="Z14" t="str">
        <f>IF(Y14="","",VLOOKUP($J14,SettlementRef!$G$6:$AI$100,Z$2,0))</f>
        <v/>
      </c>
      <c r="AA14" t="str">
        <f>IF(Z14="","",VLOOKUP($J14,SettlementRef!$G$6:$AI$100,AA$2,0))</f>
        <v/>
      </c>
      <c r="AB14" t="str">
        <f>IF(AA14="","",VLOOKUP($J14,SettlementRef!$G$6:$AI$100,AB$2,0))</f>
        <v/>
      </c>
      <c r="AC14" t="str">
        <f>IF(AB14="","",VLOOKUP($J14,SettlementRef!$G$6:$AI$100,AC$2,0))</f>
        <v/>
      </c>
      <c r="AD14" t="str">
        <f>IF(AC14="","",VLOOKUP($J14,SettlementRef!$G$6:$AI$100,AD$2,0))</f>
        <v/>
      </c>
      <c r="AE14" t="str">
        <f>IF(AD14="","",VLOOKUP($J14,SettlementRef!$G$6:$AI$100,AE$2,0))</f>
        <v/>
      </c>
      <c r="AF14" t="str">
        <f>IF(AE14="","",VLOOKUP($J14,SettlementRef!$G$6:$AI$100,AF$2,0))</f>
        <v/>
      </c>
      <c r="AG14" t="str">
        <f>IF(AF14="","",VLOOKUP($J14,SettlementRef!$G$6:$AI$100,AG$2,0))</f>
        <v/>
      </c>
      <c r="AH14" t="str">
        <f>IF(AG14="","",VLOOKUP($J14,SettlementRef!$G$6:$AI$100,AH$2,0))</f>
        <v/>
      </c>
      <c r="AI14" t="str">
        <f>IF(AH14="","",VLOOKUP($J14,SettlementRef!$G$6:$AI$100,AI$2,0))</f>
        <v/>
      </c>
      <c r="AJ14" t="str">
        <f>IF(AI14="","",VLOOKUP($J14,SettlementRef!$G$6:$AI$100,AJ$2,0))</f>
        <v/>
      </c>
      <c r="AK14" t="str">
        <f>IF(AJ14="","",VLOOKUP($J14,SettlementRef!$G$6:$AI$100,AK$2,0))</f>
        <v/>
      </c>
      <c r="AL14" t="str">
        <f>IF(AK14="","",VLOOKUP($J14,SettlementRef!$G$6:$AI$100,AL$2,0))</f>
        <v/>
      </c>
      <c r="AM14" t="str">
        <f>IF(AL14="","",VLOOKUP($J14,SettlementRef!$G$6:$AI$100,AM$2,0))</f>
        <v/>
      </c>
      <c r="AN14" t="str">
        <f>IF(AM14="","",VLOOKUP($J14,SettlementRef!$G$6:$AI$100,AN$2,0))</f>
        <v/>
      </c>
      <c r="AO14" t="str">
        <f>IF(AN14="","",VLOOKUP($J14,SettlementRef!$G$6:$AI$100,AO$2,0))</f>
        <v/>
      </c>
      <c r="AP14" t="str">
        <f>IF(AO14="","",VLOOKUP($J14,SettlementRef!$G$6:$AI$100,AP$2,0))</f>
        <v/>
      </c>
    </row>
    <row r="15" spans="1:197" x14ac:dyDescent="0.25">
      <c r="J15" s="19"/>
      <c r="K15" s="19"/>
      <c r="L15" s="20"/>
      <c r="M15" s="20"/>
      <c r="R15" s="9" t="str">
        <f>IF(J15="","",VLOOKUP($J15,SettlementRef!$G$6:$AI$100,R$2,0))</f>
        <v/>
      </c>
      <c r="S15" t="str">
        <f>IF(R15="","",VLOOKUP($J15,SettlementRef!$G$6:$AI$100,S$2,0))</f>
        <v/>
      </c>
      <c r="T15" t="str">
        <f>IF(S15="","",VLOOKUP($J15,SettlementRef!$G$6:$AI$100,T$2,0))</f>
        <v/>
      </c>
      <c r="U15" t="str">
        <f>IF(T15="","",VLOOKUP($J15,SettlementRef!$G$6:$AI$100,U$2,0))</f>
        <v/>
      </c>
      <c r="V15" t="str">
        <f>IF(U15="","",VLOOKUP($J15,SettlementRef!$G$6:$AI$100,V$2,0))</f>
        <v/>
      </c>
      <c r="W15" t="str">
        <f>IF(V15="","",VLOOKUP($J15,SettlementRef!$G$6:$AI$100,W$2,0))</f>
        <v/>
      </c>
      <c r="X15" t="str">
        <f>IF(W15="","",VLOOKUP($J15,SettlementRef!$G$6:$AI$100,X$2,0))</f>
        <v/>
      </c>
      <c r="Y15" t="str">
        <f>IF(X15="","",VLOOKUP($J15,SettlementRef!$G$6:$AI$100,Y$2,0))</f>
        <v/>
      </c>
      <c r="Z15" t="str">
        <f>IF(Y15="","",VLOOKUP($J15,SettlementRef!$G$6:$AI$100,Z$2,0))</f>
        <v/>
      </c>
      <c r="AA15" t="str">
        <f>IF(Z15="","",VLOOKUP($J15,SettlementRef!$G$6:$AI$100,AA$2,0))</f>
        <v/>
      </c>
      <c r="AB15" t="str">
        <f>IF(AA15="","",VLOOKUP($J15,SettlementRef!$G$6:$AI$100,AB$2,0))</f>
        <v/>
      </c>
      <c r="AC15" t="str">
        <f>IF(AB15="","",VLOOKUP($J15,SettlementRef!$G$6:$AI$100,AC$2,0))</f>
        <v/>
      </c>
      <c r="AD15" t="str">
        <f>IF(AC15="","",VLOOKUP($J15,SettlementRef!$G$6:$AI$100,AD$2,0))</f>
        <v/>
      </c>
      <c r="AE15" t="str">
        <f>IF(AD15="","",VLOOKUP($J15,SettlementRef!$G$6:$AI$100,AE$2,0))</f>
        <v/>
      </c>
      <c r="AF15" t="str">
        <f>IF(AE15="","",VLOOKUP($J15,SettlementRef!$G$6:$AI$100,AF$2,0))</f>
        <v/>
      </c>
      <c r="AG15" t="str">
        <f>IF(AF15="","",VLOOKUP($J15,SettlementRef!$G$6:$AI$100,AG$2,0))</f>
        <v/>
      </c>
      <c r="AH15" t="str">
        <f>IF(AG15="","",VLOOKUP($J15,SettlementRef!$G$6:$AI$100,AH$2,0))</f>
        <v/>
      </c>
      <c r="AI15" t="str">
        <f>IF(AH15="","",VLOOKUP($J15,SettlementRef!$G$6:$AI$100,AI$2,0))</f>
        <v/>
      </c>
      <c r="AJ15" t="str">
        <f>IF(AI15="","",VLOOKUP($J15,SettlementRef!$G$6:$AI$100,AJ$2,0))</f>
        <v/>
      </c>
      <c r="AK15" t="str">
        <f>IF(AJ15="","",VLOOKUP($J15,SettlementRef!$G$6:$AI$100,AK$2,0))</f>
        <v/>
      </c>
      <c r="AL15" t="str">
        <f>IF(AK15="","",VLOOKUP($J15,SettlementRef!$G$6:$AI$100,AL$2,0))</f>
        <v/>
      </c>
      <c r="AM15" t="str">
        <f>IF(AL15="","",VLOOKUP($J15,SettlementRef!$G$6:$AI$100,AM$2,0))</f>
        <v/>
      </c>
      <c r="AN15" t="str">
        <f>IF(AM15="","",VLOOKUP($J15,SettlementRef!$G$6:$AI$100,AN$2,0))</f>
        <v/>
      </c>
      <c r="AO15" t="str">
        <f>IF(AN15="","",VLOOKUP($J15,SettlementRef!$G$6:$AI$100,AO$2,0))</f>
        <v/>
      </c>
      <c r="AP15" t="str">
        <f>IF(AO15="","",VLOOKUP($J15,SettlementRef!$G$6:$AI$100,AP$2,0))</f>
        <v/>
      </c>
    </row>
    <row r="16" spans="1:197" x14ac:dyDescent="0.25">
      <c r="J16" s="19"/>
      <c r="K16" s="19"/>
      <c r="L16" s="20"/>
      <c r="M16" s="20"/>
    </row>
    <row r="17" spans="1:13" x14ac:dyDescent="0.25">
      <c r="J17" s="19"/>
      <c r="K17" s="19"/>
      <c r="L17" s="20"/>
      <c r="M17" s="20"/>
    </row>
    <row r="18" spans="1:13" x14ac:dyDescent="0.25">
      <c r="J18" s="19"/>
      <c r="K18" s="19"/>
      <c r="L18" s="20"/>
      <c r="M18" s="20"/>
    </row>
    <row r="19" spans="1:13" x14ac:dyDescent="0.25">
      <c r="J19" s="19"/>
      <c r="K19" s="19"/>
      <c r="L19" s="20"/>
      <c r="M19" s="20"/>
    </row>
    <row r="20" spans="1:13" x14ac:dyDescent="0.25">
      <c r="A20" s="12">
        <v>40909</v>
      </c>
      <c r="J20" s="19"/>
      <c r="K20" s="19"/>
      <c r="L20" s="20"/>
      <c r="M20" s="20"/>
    </row>
    <row r="21" spans="1:13" x14ac:dyDescent="0.25">
      <c r="A21" s="12">
        <v>40940</v>
      </c>
      <c r="D21" s="13"/>
      <c r="J21" s="19"/>
      <c r="K21" s="19"/>
      <c r="L21" s="20"/>
      <c r="M21" s="20"/>
    </row>
    <row r="22" spans="1:13" x14ac:dyDescent="0.25">
      <c r="A22" s="12">
        <v>40969</v>
      </c>
      <c r="D22" s="13"/>
      <c r="J22" s="19"/>
      <c r="K22" s="19"/>
      <c r="L22" s="20"/>
      <c r="M22" s="20"/>
    </row>
    <row r="23" spans="1:13" x14ac:dyDescent="0.25">
      <c r="A23" s="12">
        <v>41000</v>
      </c>
      <c r="D23" s="13">
        <f>D22-D19</f>
        <v>0</v>
      </c>
      <c r="J23" s="19"/>
      <c r="K23" s="19"/>
      <c r="L23" s="20"/>
      <c r="M23" s="20"/>
    </row>
    <row r="24" spans="1:13" x14ac:dyDescent="0.25">
      <c r="A24" s="12">
        <v>41030</v>
      </c>
      <c r="J24" s="19"/>
      <c r="K24" s="19"/>
      <c r="L24" s="20"/>
      <c r="M24" s="20"/>
    </row>
    <row r="25" spans="1:13" x14ac:dyDescent="0.25">
      <c r="A25" s="12">
        <v>41061</v>
      </c>
      <c r="J25" s="19"/>
      <c r="K25" s="19"/>
      <c r="L25" s="20"/>
      <c r="M25" s="20"/>
    </row>
    <row r="26" spans="1:13" x14ac:dyDescent="0.25">
      <c r="A26" s="12">
        <v>41091</v>
      </c>
      <c r="J26" s="19"/>
      <c r="K26" s="19"/>
      <c r="L26" s="20"/>
      <c r="M26" s="20"/>
    </row>
    <row r="27" spans="1:13" x14ac:dyDescent="0.25">
      <c r="A27" s="12">
        <v>41122</v>
      </c>
      <c r="J27" s="19"/>
      <c r="K27" s="19"/>
      <c r="L27" s="20"/>
      <c r="M27" s="20"/>
    </row>
    <row r="28" spans="1:13" x14ac:dyDescent="0.25">
      <c r="A28" s="12">
        <v>41153</v>
      </c>
    </row>
    <row r="29" spans="1:13" x14ac:dyDescent="0.25">
      <c r="A29" s="12">
        <v>41183</v>
      </c>
    </row>
    <row r="30" spans="1:13" x14ac:dyDescent="0.25">
      <c r="A30" s="12">
        <v>41214</v>
      </c>
    </row>
    <row r="31" spans="1:13" x14ac:dyDescent="0.25">
      <c r="A31" s="12">
        <v>41244</v>
      </c>
    </row>
    <row r="32" spans="1:13" x14ac:dyDescent="0.25">
      <c r="A32" s="12">
        <v>41275</v>
      </c>
    </row>
    <row r="33" spans="1:1" x14ac:dyDescent="0.25">
      <c r="A33" s="12">
        <v>41306</v>
      </c>
    </row>
    <row r="34" spans="1:1" x14ac:dyDescent="0.25">
      <c r="A34" s="12">
        <v>41334</v>
      </c>
    </row>
    <row r="35" spans="1:1" x14ac:dyDescent="0.25">
      <c r="A35" s="12">
        <v>41365</v>
      </c>
    </row>
    <row r="36" spans="1:1" x14ac:dyDescent="0.25">
      <c r="A36" s="12">
        <v>41395</v>
      </c>
    </row>
    <row r="37" spans="1:1" x14ac:dyDescent="0.25">
      <c r="A37" s="12">
        <v>41426</v>
      </c>
    </row>
    <row r="38" spans="1:1" x14ac:dyDescent="0.25">
      <c r="A38" s="12">
        <v>41456</v>
      </c>
    </row>
    <row r="39" spans="1:1" x14ac:dyDescent="0.25">
      <c r="A39" s="12">
        <v>41487</v>
      </c>
    </row>
    <row r="40" spans="1:1" x14ac:dyDescent="0.25">
      <c r="A40" s="12">
        <v>41518</v>
      </c>
    </row>
    <row r="41" spans="1:1" x14ac:dyDescent="0.25">
      <c r="A41" s="12">
        <v>41548</v>
      </c>
    </row>
    <row r="42" spans="1:1" x14ac:dyDescent="0.25">
      <c r="A42" s="12">
        <v>41579</v>
      </c>
    </row>
    <row r="43" spans="1:1" x14ac:dyDescent="0.25">
      <c r="A43" s="12">
        <v>41609</v>
      </c>
    </row>
    <row r="44" spans="1:1" x14ac:dyDescent="0.25">
      <c r="A44" s="12">
        <v>41640</v>
      </c>
    </row>
    <row r="45" spans="1:1" x14ac:dyDescent="0.25">
      <c r="A45" s="12">
        <v>41671</v>
      </c>
    </row>
    <row r="46" spans="1:1" x14ac:dyDescent="0.25">
      <c r="A46" s="12">
        <v>41699</v>
      </c>
    </row>
    <row r="47" spans="1:1" x14ac:dyDescent="0.25">
      <c r="A47" s="12">
        <v>41730</v>
      </c>
    </row>
    <row r="48" spans="1:1" x14ac:dyDescent="0.25">
      <c r="A48" s="12">
        <v>41760</v>
      </c>
    </row>
    <row r="49" spans="1:1" x14ac:dyDescent="0.25">
      <c r="A49" s="12">
        <v>41791</v>
      </c>
    </row>
    <row r="50" spans="1:1" x14ac:dyDescent="0.25">
      <c r="A50" s="12">
        <v>41821</v>
      </c>
    </row>
    <row r="51" spans="1:1" x14ac:dyDescent="0.25">
      <c r="A51" s="12">
        <v>41852</v>
      </c>
    </row>
    <row r="52" spans="1:1" x14ac:dyDescent="0.25">
      <c r="A52" s="12">
        <v>41883</v>
      </c>
    </row>
    <row r="53" spans="1:1" x14ac:dyDescent="0.25">
      <c r="A53" s="12">
        <v>41913</v>
      </c>
    </row>
    <row r="54" spans="1:1" x14ac:dyDescent="0.25">
      <c r="A54" s="12">
        <v>41944</v>
      </c>
    </row>
    <row r="55" spans="1:1" x14ac:dyDescent="0.25">
      <c r="A55" s="12">
        <v>41974</v>
      </c>
    </row>
    <row r="56" spans="1:1" x14ac:dyDescent="0.25">
      <c r="A56" s="12">
        <v>42005</v>
      </c>
    </row>
    <row r="57" spans="1:1" x14ac:dyDescent="0.25">
      <c r="A57" s="12">
        <v>42036</v>
      </c>
    </row>
    <row r="58" spans="1:1" x14ac:dyDescent="0.25">
      <c r="A58" s="12">
        <v>42064</v>
      </c>
    </row>
    <row r="59" spans="1:1" x14ac:dyDescent="0.25">
      <c r="A59" s="12">
        <v>42095</v>
      </c>
    </row>
    <row r="60" spans="1:1" x14ac:dyDescent="0.25">
      <c r="A60" s="12">
        <v>42125</v>
      </c>
    </row>
    <row r="61" spans="1:1" x14ac:dyDescent="0.25">
      <c r="A61" s="12">
        <v>42156</v>
      </c>
    </row>
    <row r="62" spans="1:1" x14ac:dyDescent="0.25">
      <c r="A62" s="12">
        <v>42186</v>
      </c>
    </row>
    <row r="63" spans="1:1" x14ac:dyDescent="0.25">
      <c r="A63" s="12">
        <v>42217</v>
      </c>
    </row>
    <row r="64" spans="1:1" x14ac:dyDescent="0.25">
      <c r="A64" s="12">
        <v>42248</v>
      </c>
    </row>
    <row r="65" spans="1:1" x14ac:dyDescent="0.25">
      <c r="A65" s="12">
        <v>42278</v>
      </c>
    </row>
    <row r="66" spans="1:1" x14ac:dyDescent="0.25">
      <c r="A66" s="12">
        <v>42309</v>
      </c>
    </row>
    <row r="67" spans="1:1" x14ac:dyDescent="0.25">
      <c r="A67" s="12">
        <v>42339</v>
      </c>
    </row>
  </sheetData>
  <mergeCells count="16">
    <mergeCell ref="R4:AA4"/>
    <mergeCell ref="AB4:AK4"/>
    <mergeCell ref="AL4:AP4"/>
    <mergeCell ref="CJ4:CN4"/>
    <mergeCell ref="EM4:EP4"/>
    <mergeCell ref="CO4:CX4"/>
    <mergeCell ref="CY4:DH4"/>
    <mergeCell ref="DI4:DM4"/>
    <mergeCell ref="DN4:DW4"/>
    <mergeCell ref="DX4:EG4"/>
    <mergeCell ref="EH4:EL4"/>
    <mergeCell ref="BP4:BY4"/>
    <mergeCell ref="BZ4:CI4"/>
    <mergeCell ref="AQ4:AZ4"/>
    <mergeCell ref="BA4:BJ4"/>
    <mergeCell ref="BK4:BO4"/>
  </mergeCells>
  <dataValidations disablePrompts="1" count="2">
    <dataValidation type="list" allowBlank="1" showInputMessage="1" showErrorMessage="1" sqref="J6:K24 Q6:Q24">
      <formula1>$A$6:$A$15</formula1>
    </dataValidation>
    <dataValidation type="list" allowBlank="1" showInputMessage="1" showErrorMessage="1" sqref="L6:M27">
      <formula1>$A$20:$A$59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123825</xdr:colOff>
                    <xdr:row>0</xdr:row>
                    <xdr:rowOff>76200</xdr:rowOff>
                  </from>
                  <to>
                    <xdr:col>2</xdr:col>
                    <xdr:colOff>438150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advantages</vt:lpstr>
      <vt:lpstr>DataTable</vt:lpstr>
      <vt:lpstr>ChangeHistory</vt:lpstr>
      <vt:lpstr>Inputs</vt:lpstr>
      <vt:lpstr>SettlementRef</vt:lpstr>
      <vt:lpstr>Sales Qty</vt:lpstr>
      <vt:lpstr>BOM_001</vt:lpstr>
      <vt:lpstr>Recipe_001</vt:lpstr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Happy</dc:creator>
  <cp:lastModifiedBy>vinu</cp:lastModifiedBy>
  <cp:lastPrinted>2015-03-05T13:43:10Z</cp:lastPrinted>
  <dcterms:created xsi:type="dcterms:W3CDTF">2015-02-27T05:30:06Z</dcterms:created>
  <dcterms:modified xsi:type="dcterms:W3CDTF">2015-03-14T15:36:16Z</dcterms:modified>
</cp:coreProperties>
</file>